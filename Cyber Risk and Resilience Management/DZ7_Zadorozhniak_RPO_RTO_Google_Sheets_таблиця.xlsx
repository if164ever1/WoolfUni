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80816e675545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анель" sheetId="1" r:id="R0a5f4c00b80242c3"/>
    <x:sheet xmlns:r="http://schemas.openxmlformats.org/officeDocument/2006/relationships" name="RPO" sheetId="2" r:id="R5e1f98d6db0d453e"/>
    <x:sheet xmlns:r="http://schemas.openxmlformats.org/officeDocument/2006/relationships" name="RTO" sheetId="3" r:id="Re6f2399831b04daf"/>
    <x:sheet xmlns:r="http://schemas.openxmlformats.org/officeDocument/2006/relationships" name="Заходи" sheetId="4" r:id="Reebbb328d6a64c31"/>
    <x:sheet xmlns:r="http://schemas.openxmlformats.org/officeDocument/2006/relationships" name="Розрахунки" sheetId="5" r:id="R9293d182c8624f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3">
    <x:font>
      <x:sz val="11"/>
      <x:name val="Carlito"/>
    </x:font>
    <x:font>
      <x:b/>
      <x:sz val="16"/>
      <x:color rgb="FFFFFF"/>
      <x:name val="Carlito"/>
    </x:font>
    <x:font>
      <x:sz val="11"/>
      <x:color rgb="111827"/>
      <x:name val="Carlito"/>
    </x:font>
    <x:font>
      <x:b/>
      <x:sz val="11"/>
      <x:color rgb="111827"/>
      <x:name val="Carlito"/>
    </x:font>
    <x:font>
      <x:b/>
      <x:sz val="18"/>
      <x:color rgb="1E3A8A"/>
      <x:name val="Carlito"/>
    </x:font>
    <x:font>
      <x:b/>
      <x:sz val="11"/>
      <x:color rgb="FFFFFF"/>
      <x:name val="Carlito"/>
    </x:font>
    <x:font>
      <x:b/>
      <x:sz val="11"/>
      <x:color rgb="166534"/>
      <x:name val="Carlito"/>
    </x:font>
    <x:font>
      <x:b/>
      <x:sz val="10"/>
      <x:color rgb="111827"/>
      <x:name val="Aptos"/>
    </x:font>
    <x:font>
      <x:sz val="10"/>
      <x:color rgb="111827"/>
      <x:name val="Aptos"/>
    </x:font>
    <x:font>
      <x:b/>
      <x:sz val="16"/>
      <x:color rgb="FFFFFF"/>
      <x:name val="Aptos"/>
    </x:font>
    <x:font>
      <x:b/>
      <x:sz val="18"/>
      <x:color rgb="1E3A8A"/>
      <x:name val="Aptos"/>
    </x:font>
    <x:font>
      <x:b/>
      <x:sz val="10"/>
      <x:color rgb="FFFFFF"/>
      <x:name val="Aptos"/>
    </x:font>
    <x:font>
      <x:b/>
      <x:sz val="10"/>
      <x:color rgb="166534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1E3A8A"/>
      </x:patternFill>
    </x:fill>
    <x:fill>
      <x:patternFill patternType="solid">
        <x:fgColor rgb="EFF6FF"/>
      </x:patternFill>
    </x:fill>
    <x:fill>
      <x:patternFill patternType="solid">
        <x:fgColor rgb="DBEAFE"/>
      </x:patternFill>
    </x:fill>
    <x:fill>
      <x:patternFill patternType="solid">
        <x:fgColor rgb="FFFFFF"/>
      </x:patternFill>
    </x:fill>
    <x:fill>
      <x:patternFill patternType="solid">
        <x:fgColor rgb="2563EB"/>
      </x:patternFill>
    </x:fill>
    <x:fill>
      <x:patternFill patternType="solid">
        <x:fgColor rgb="ECFDF5"/>
      </x:patternFill>
    </x:fill>
  </x:fills>
  <x:borders count="2">
    <x:border/>
    <x:border/>
  </x:borders>
  <x:cellStyleXfs count="1">
    <x:xf numFmtId="0" fontId="0" fillId="0" borderId="0"/>
  </x:cellStyleXfs>
  <x:cellXfs count="1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left" wrapText="1"/>
    </x:xf>
    <x:xf numFmtId="0" fontId="5" fillId="6" borderId="0" xfId="0" applyNumberFormat="1" applyFont="1" applyFill="1" applyBorder="1" applyAlignment="1">
      <x:alignment horizontal="left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left" wrapText="1"/>
    </x:xf>
    <x:xf numFmtId="0" fontId="5" fillId="6" borderId="1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 applyAlignment="1">
      <x:alignment horizontal="left" vertical="center" wrapText="1"/>
    </x:xf>
    <x:xf numFmtId="0" fontId="8" fillId="0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horizontal="center" vertical="center"/>
    </x:xf>
    <x:xf numFmtId="0" fontId="7" fillId="6" borderId="0" xfId="0" applyNumberFormat="1" applyFont="1" applyFill="1" applyBorder="1" applyAlignment="1">
      <x:alignment horizontal="left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top" wrapText="1"/>
    </x:xf>
    <x:xf numFmtId="0" fontId="8" fillId="3" borderId="0" xfId="0" applyNumberFormat="1" applyFont="1" applyFill="1" applyBorder="1" applyAlignment="1">
      <x:alignment horizontal="left"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horizontal="center" vertical="top" wrapText="1"/>
    </x:xf>
    <x:xf numFmtId="0" fontId="7" fillId="5" borderId="0" xfId="0" applyNumberFormat="1" applyFont="1" applyFill="1" applyBorder="1" applyAlignment="1">
      <x:alignment horizontal="center" vertical="top" wrapText="1"/>
    </x:xf>
    <x:xf numFmtId="0" fontId="7" fillId="6" borderId="0" xfId="0" applyNumberFormat="1" applyFont="1" applyFill="1" applyBorder="1" applyAlignment="1">
      <x:alignment horizontal="left"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7" fillId="2" borderId="1" xfId="0" applyNumberFormat="1" applyFont="1" applyFill="1" applyBorder="1" applyAlignment="1">
      <x:alignment horizontal="center" vertical="center"/>
    </x:xf>
    <x:xf numFmtId="0" fontId="8" fillId="3" borderId="1" xfId="0" applyNumberFormat="1" applyFont="1" applyFill="1" applyBorder="1" applyAlignment="1">
      <x:alignment horizontal="left" vertical="center" wrapText="1"/>
    </x:xf>
    <x:xf numFmtId="0" fontId="8" fillId="0" borderId="1" xfId="0" applyNumberFormat="1" applyFont="1" applyFill="1" applyBorder="1"/>
    <x:xf numFmtId="0" fontId="7" fillId="4" borderId="1" xfId="0" applyNumberFormat="1" applyFont="1" applyFill="1" applyBorder="1" applyAlignment="1">
      <x:alignment horizontal="center" vertical="center" wrapText="1"/>
    </x:xf>
    <x:xf numFmtId="0" fontId="7" fillId="5" borderId="1" xfId="0" applyNumberFormat="1" applyFont="1" applyFill="1" applyBorder="1" applyAlignment="1">
      <x:alignment horizontal="center" vertical="center"/>
    </x:xf>
    <x:xf numFmtId="0" fontId="7" fillId="6" borderId="1" xfId="0" applyNumberFormat="1" applyFont="1" applyFill="1" applyBorder="1" applyAlignment="1">
      <x:alignment horizontal="left" vertic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7" fillId="7" borderId="1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horizontal="center" vertical="center" wrapText="1"/>
    </x:xf>
    <x:xf numFmtId="0" fontId="7" fillId="2" borderId="1" xfId="0" applyNumberFormat="1" applyFont="1" applyFill="1" applyBorder="1" applyAlignment="1">
      <x:alignment horizontal="center" vertical="top" wrapText="1"/>
    </x:xf>
    <x:xf numFmtId="0" fontId="8" fillId="3" borderId="1" xfId="0" applyNumberFormat="1" applyFont="1" applyFill="1" applyBorder="1" applyAlignment="1">
      <x:alignment horizontal="left" vertical="top" wrapText="1"/>
    </x:xf>
    <x:xf numFmtId="0" fontId="8" fillId="0" borderId="1" xfId="0" applyNumberFormat="1" applyFont="1" applyFill="1" applyBorder="1" applyAlignment="1">
      <x:alignment vertical="top" wrapText="1"/>
    </x:xf>
    <x:xf numFmtId="0" fontId="7" fillId="4" borderId="1" xfId="0" applyNumberFormat="1" applyFont="1" applyFill="1" applyBorder="1" applyAlignment="1">
      <x:alignment horizontal="center" vertical="top" wrapText="1"/>
    </x:xf>
    <x:xf numFmtId="0" fontId="7" fillId="5" borderId="1" xfId="0" applyNumberFormat="1" applyFont="1" applyFill="1" applyBorder="1" applyAlignment="1">
      <x:alignment horizontal="center" vertical="top" wrapText="1"/>
    </x:xf>
    <x:xf numFmtId="0" fontId="7" fillId="6" borderId="1" xfId="0" applyNumberFormat="1" applyFont="1" applyFill="1" applyBorder="1" applyAlignment="1">
      <x:alignment horizontal="left" vertical="top" wrapText="1"/>
    </x:xf>
    <x:xf numFmtId="0" fontId="7" fillId="7" borderId="1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top" wrapText="1"/>
    </x:xf>
    <x:xf numFmtId="0" fontId="8" fillId="3" borderId="1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 applyAlignment="1">
      <x:alignment horizontal="center" vertical="top" wrapText="1"/>
    </x:xf>
    <x:xf numFmtId="0" fontId="9" fillId="2" borderId="0" xfId="0" applyNumberFormat="1" applyFont="1" applyFill="1" applyBorder="1" applyAlignment="1">
      <x:alignment horizontal="center" vertical="center" wrapText="1"/>
    </x:xf>
    <x:xf numFmtId="0" fontId="9" fillId="2" borderId="1" xfId="0" applyNumberFormat="1" applyFont="1" applyFill="1" applyBorder="1" applyAlignment="1">
      <x:alignment horizontal="center" vertical="top" wrapText="1"/>
    </x:xf>
    <x:xf numFmtId="0" fontId="9" fillId="2" borderId="1" xfId="0" applyNumberFormat="1" applyFont="1" applyFill="1" applyBorder="1" applyAlignment="1">
      <x:alignment horizontal="center" vertical="center" wrapText="1"/>
    </x:xf>
    <x:xf numFmtId="0" fontId="10" fillId="5" borderId="0" xfId="0" applyNumberFormat="1" applyFont="1" applyFill="1" applyBorder="1" applyAlignment="1">
      <x:alignment horizontal="center" vertical="top" wrapText="1"/>
    </x:xf>
    <x:xf numFmtId="0" fontId="10" fillId="5" borderId="0" xfId="0" applyNumberFormat="1" applyFont="1" applyFill="1" applyBorder="1" applyAlignment="1">
      <x:alignment horizontal="center" vertical="center" wrapText="1"/>
    </x:xf>
    <x:xf numFmtId="0" fontId="10" fillId="5" borderId="1" xfId="0" applyNumberFormat="1" applyFont="1" applyFill="1" applyBorder="1" applyAlignment="1">
      <x:alignment horizontal="center" vertical="top" wrapText="1"/>
    </x:xf>
    <x:xf numFmtId="0" fontId="10" fillId="5" borderId="1" xfId="0" applyNumberFormat="1" applyFont="1" applyFill="1" applyBorder="1" applyAlignment="1">
      <x:alignment horizontal="center" vertical="center" wrapText="1"/>
    </x:xf>
    <x:xf numFmtId="0" fontId="11" fillId="6" borderId="0" xfId="0" applyNumberFormat="1" applyFont="1" applyFill="1" applyBorder="1" applyAlignment="1">
      <x:alignment horizontal="left" vertical="top" wrapText="1"/>
    </x:xf>
    <x:xf numFmtId="0" fontId="11" fillId="6" borderId="0" xfId="0" applyNumberFormat="1" applyFont="1" applyFill="1" applyBorder="1" applyAlignment="1">
      <x:alignment horizontal="left" vertical="center" wrapText="1"/>
    </x:xf>
    <x:xf numFmtId="0" fontId="11" fillId="6" borderId="1" xfId="0" applyNumberFormat="1" applyFont="1" applyFill="1" applyBorder="1" applyAlignment="1">
      <x:alignment horizontal="left" vertical="top" wrapText="1"/>
    </x:xf>
    <x:xf numFmtId="0" fontId="11" fillId="6" borderId="1" xfId="0" applyNumberFormat="1" applyFont="1" applyFill="1" applyBorder="1" applyAlignment="1">
      <x:alignment horizontal="left" vertical="center" wrapText="1"/>
    </x:xf>
    <x:xf numFmtId="0" fontId="11" fillId="2" borderId="0" xfId="0" applyNumberFormat="1" applyFont="1" applyFill="1" applyBorder="1" applyAlignment="1">
      <x:alignment horizontal="center" vertical="top" wrapText="1"/>
    </x:xf>
    <x:xf numFmtId="0" fontId="11" fillId="2" borderId="0" xfId="0" applyNumberFormat="1" applyFont="1" applyFill="1" applyBorder="1" applyAlignment="1">
      <x:alignment horizontal="center" vertical="center" wrapText="1"/>
    </x:xf>
    <x:xf numFmtId="0" fontId="11" fillId="2" borderId="1" xfId="0" applyNumberFormat="1" applyFont="1" applyFill="1" applyBorder="1" applyAlignment="1">
      <x:alignment horizontal="center" vertical="top" wrapText="1"/>
    </x:xf>
    <x:xf numFmtId="0" fontId="11" fillId="2" borderId="1" xfId="0" applyNumberFormat="1" applyFont="1" applyFill="1" applyBorder="1" applyAlignment="1">
      <x:alignment horizontal="center" vertical="center" wrapText="1"/>
    </x:xf>
    <x:xf numFmtId="0" fontId="12" fillId="7" borderId="0" xfId="0" applyNumberFormat="1" applyFont="1" applyFill="1" applyBorder="1" applyAlignment="1">
      <x:alignment vertical="top" wrapText="1"/>
    </x:xf>
    <x:xf numFmtId="0" fontId="12" fillId="7" borderId="0" xfId="0" applyNumberFormat="1" applyFont="1" applyFill="1" applyBorder="1" applyAlignment="1">
      <x:alignment vertical="center" wrapText="1"/>
    </x:xf>
    <x:xf numFmtId="0" fontId="12" fillId="7" borderId="1" xfId="0" applyNumberFormat="1" applyFont="1" applyFill="1" applyBorder="1" applyAlignment="1">
      <x:alignment vertical="top" wrapText="1"/>
    </x:xf>
    <x:xf numFmtId="0" fontId="12" fillId="7" borderId="1" xfId="0" applyNumberFormat="1" applyFont="1" applyFill="1" applyBorder="1" applyAlignment="1">
      <x:alignment vertical="center" wrapText="1"/>
    </x:xf>
    <x:xf numFmtId="200" fontId="8" fillId="0" borderId="0" xfId="0" applyNumberFormat="1" applyFont="1" applyFill="1" applyBorder="1" applyAlignment="1">
      <x:alignment vertical="top" wrapText="1"/>
    </x:xf>
    <x:xf numFmtId="200" fontId="8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2"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aed9a15d864836" /><Relationship Type="http://schemas.openxmlformats.org/officeDocument/2006/relationships/theme" Target="/xl/theme/theme1.xml" Id="Ra099588cf2784368" /><Relationship Type="http://schemas.openxmlformats.org/officeDocument/2006/relationships/sharedStrings" Target="/xl/sharedStrings.xml" Id="Rd0de32c4a04249e6" /><Relationship Type="http://schemas.openxmlformats.org/officeDocument/2006/relationships/worksheet" Target="/xl/worksheets/sheet1.xml" Id="R0a5f4c00b80242c3" /><Relationship Type="http://schemas.openxmlformats.org/officeDocument/2006/relationships/worksheet" Target="/xl/worksheets/sheet2.xml" Id="R5e1f98d6db0d453e" /><Relationship Type="http://schemas.openxmlformats.org/officeDocument/2006/relationships/worksheet" Target="/xl/worksheets/sheet3.xml" Id="Re6f2399831b04daf" /><Relationship Type="http://schemas.openxmlformats.org/officeDocument/2006/relationships/worksheet" Target="/xl/worksheets/sheet4.xml" Id="Reebbb328d6a64c31" /><Relationship Type="http://schemas.openxmlformats.org/officeDocument/2006/relationships/worksheet" Target="/xl/worksheets/sheet5.xml" Id="R9293d182c8624f3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adcb32a0f4f4fa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RPO та RTO за системами, хв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Критичність</c:v>
          </c:tx>
          <c:cat>
            <c:strRef>
              <c:f>'Панель'!$A$11:$A$17</c:f>
              <c:strCache>
                <c:ptCount val="0"/>
              </c:strCache>
            </c:strRef>
          </c:cat>
          <c:val>
            <c:numRef>
              <c:f>'Панель'!$B$11:$B$17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RPO, хв</c:v>
          </c:tx>
          <c:cat>
            <c:strRef>
              <c:f>'Панель'!$A$11:$A$17</c:f>
              <c:strCache>
                <c:ptCount val="0"/>
              </c:strCache>
            </c:strRef>
          </c:cat>
          <c:val>
            <c:numRef>
              <c:f>'Панель'!$C$11:$C$17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RTO, хв</c:v>
          </c:tx>
          <c:cat>
            <c:strRef>
              <c:f>'Панель'!$A$11:$A$17</c:f>
              <c:strCache>
                <c:ptCount val="0"/>
              </c:strCache>
            </c:strRef>
          </c:cat>
          <c:val>
            <c:numRef>
              <c:f>'Панель'!$D$11:$D$17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20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adcb32a0f4f4fa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POTable" displayName="RPOTable" ref="A3:H10" headerRowCount="1">
  <x:tableColumns count="8">
    <x:tableColumn id="1" name="Система"/>
    <x:tableColumn id="2" name="Критичність"/>
    <x:tableColumn id="3" name="Інтервал backup, хв"/>
    <x:tableColumn id="4" name="Затримка реплікації, хв"/>
    <x:tableColumn id="5" name="RPO, хв"/>
    <x:tableColumn id="6" name="RPO, формат"/>
    <x:tableColumn id="7" name="Що це означає?"/>
    <x:tableColumn id="8" name="Як забезпечити"/>
  </x:tableColumns>
  <x:tableStyleInfo name="TableStyleMedium2" showRowStripes="1"/>
</x:table>
</file>

<file path=xl/tables/table2.xml><?xml version="1.0" encoding="utf-8"?>
<x:table xmlns:x="http://schemas.openxmlformats.org/spreadsheetml/2006/main" id="2" name="RTOTable" displayName="RTOTable" ref="A3:H10" headerRowCount="1">
  <x:tableColumns count="8">
    <x:tableColumn id="1" name="Система"/>
    <x:tableColumn id="2" name="Критичність"/>
    <x:tableColumn id="3" name="Час запуску резерву, хв"/>
    <x:tableColumn id="4" name="Час перевірки, хв"/>
    <x:tableColumn id="5" name="RTO, хв"/>
    <x:tableColumn id="6" name="RTO, формат"/>
    <x:tableColumn id="7" name="Що це означає?"/>
    <x:tableColumn id="8" name="Резервне рішення"/>
  </x:tableColumns>
  <x:tableStyleInfo name="TableStyleMedium2" showRowStripes="1"/>
</x:table>
</file>

<file path=xl/tables/table3.xml><?xml version="1.0" encoding="utf-8"?>
<x:table xmlns:x="http://schemas.openxmlformats.org/spreadsheetml/2006/main" id="3" name="MeasuresTable" displayName="MeasuresTable" ref="A3:F10" headerRowCount="1">
  <x:tableColumns count="6">
    <x:tableColumn id="1" name="Захід відновлення"/>
    <x:tableColumn id="2" name="Що захищає?"/>
    <x:tableColumn id="3" name="Для яких систем?"/>
    <x:tableColumn id="4" name="Як забезпечує RPO/RTO?"/>
    <x:tableColumn id="5" name="Чому це важливо?"/>
    <x:tableColumn id="6" name="Пріоритет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95182b99f0c4ae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720e0465894c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1bf412bd1840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07ee5d0853e49e9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24" hidden="0" customWidth="1"/>
    <x:col min="8" max="8" width="30" hidden="0" customWidth="1"/>
  </x:cols>
  <x:sheetData>
    <x:row r="1" ht="30" customHeight="1">
      <x:c r="A1" s="105" t="str">
        <x:v>RPO та RTO: відновлення після ransomware-інциденту</x:v>
      </x:c>
      <x:c r="B1" s="105"/>
      <x:c r="C1" s="105"/>
      <x:c r="D1" s="105"/>
      <x:c r="E1" s="105"/>
      <x:c r="F1" s="105"/>
      <x:c r="G1" s="105"/>
      <x:c r="H1" s="105"/>
    </x:row>
    <x:row r="2" ht="44" customHeight="1">
      <x:c r="A2" s="67" t="str">
        <x:v>Сценарій: ransomware-атака на інтернет-магазин. Зашифровано сервер сайту, базу замовлень, частину CRM та файлове сховище. Мета — мінімізувати втрату даних і час простою.</x:v>
      </x:c>
      <x:c r="B2" s="67"/>
      <x:c r="C2" s="67"/>
      <x:c r="D2" s="67"/>
      <x:c r="E2" s="67"/>
      <x:c r="F2" s="67"/>
      <x:c r="G2" s="67"/>
      <x:c r="H2" s="67"/>
    </x:row>
    <x:row r="3" ht="44" customHeight="1">
      <x:c r="A3" s="67"/>
      <x:c r="B3" s="67"/>
      <x:c r="C3" s="67"/>
      <x:c r="D3" s="67"/>
      <x:c r="E3" s="67"/>
      <x:c r="F3" s="67"/>
      <x:c r="G3" s="67"/>
      <x:c r="H3" s="67"/>
    </x:row>
    <x:row r="4" ht="24" customHeight="1">
      <x:c r="A4" s="78"/>
      <x:c r="B4" s="78"/>
      <x:c r="C4" s="78"/>
      <x:c r="D4" s="78"/>
      <x:c r="E4" s="78"/>
      <x:c r="F4" s="78"/>
      <x:c r="G4" s="78"/>
      <x:c r="H4" s="78"/>
    </x:row>
    <x:row r="5" ht="24" customHeight="1">
      <x:c r="A5" s="69" t="str">
        <x:v>Систем у плані</x:v>
      </x:c>
      <x:c r="B5" s="69"/>
      <x:c r="C5" s="69" t="str">
        <x:v>Висока критичність</x:v>
      </x:c>
      <x:c r="D5" s="69"/>
      <x:c r="E5" s="69" t="str">
        <x:v>Мін. RPO</x:v>
      </x:c>
      <x:c r="F5" s="69"/>
      <x:c r="G5" s="69" t="str">
        <x:v>Мін. RTO</x:v>
      </x:c>
      <x:c r="H5" s="69"/>
    </x:row>
    <x:row r="6" ht="24" customHeight="1">
      <x:c r="A6" s="109" t="n">
        <x:f>COUNTA(RPO!A4:A10)</x:f>
        <x:v>7</x:v>
      </x:c>
      <x:c r="B6" s="109"/>
      <x:c r="C6" s="109" t="n">
        <x:f>COUNTIF(RPO!B4:B10,"Висока")</x:f>
        <x:v>3</x:v>
      </x:c>
      <x:c r="D6" s="109"/>
      <x:c r="E6" s="109" t="str">
        <x:f>MIN(RPO!E4:E10)&amp;" хв"</x:f>
        <x:v>5 хв</x:v>
      </x:c>
      <x:c r="F6" s="109"/>
      <x:c r="G6" s="109" t="str">
        <x:f>MIN(RTO!E4:E10)&amp;" хв"</x:f>
        <x:v>30 хв</x:v>
      </x:c>
      <x:c r="H6" s="109"/>
    </x:row>
    <x:row r="7" ht="24" customHeight="1">
      <x:c r="A7" s="109"/>
      <x:c r="B7" s="109"/>
      <x:c r="C7" s="109"/>
      <x:c r="D7" s="109"/>
      <x:c r="E7" s="109"/>
      <x:c r="F7" s="109"/>
      <x:c r="G7" s="109"/>
      <x:c r="H7" s="109"/>
    </x:row>
    <x:row r="8" ht="24" customHeight="1">
      <x:c r="A8" s="78"/>
      <x:c r="B8" s="78"/>
      <x:c r="C8" s="78"/>
      <x:c r="D8" s="78"/>
      <x:c r="E8" s="78"/>
      <x:c r="F8" s="78"/>
      <x:c r="G8" s="78"/>
      <x:c r="H8" s="78"/>
    </x:row>
    <x:row r="9" ht="24" customHeight="1">
      <x:c r="A9" s="113" t="str">
        <x:v>Зведена таблиця для контролю пріоритетів</x:v>
      </x:c>
      <x:c r="B9" s="113"/>
      <x:c r="C9" s="113"/>
      <x:c r="D9" s="113"/>
      <x:c r="E9" s="113"/>
      <x:c r="F9" s="113"/>
      <x:c r="G9" s="113"/>
      <x:c r="H9" s="113"/>
    </x:row>
    <x:row r="10" ht="24" customHeight="1">
      <x:c r="A10" s="117" t="str">
        <x:v>Система</x:v>
      </x:c>
      <x:c r="B10" s="117" t="str">
        <x:v>Критичність</x:v>
      </x:c>
      <x:c r="C10" s="117" t="str">
        <x:v>RPO, хв</x:v>
      </x:c>
      <x:c r="D10" s="117" t="str">
        <x:v>RTO, хв</x:v>
      </x:c>
      <x:c r="E10" s="117" t="str">
        <x:v>RPO, формат</x:v>
      </x:c>
      <x:c r="F10" s="117" t="str">
        <x:v>RTO, формат</x:v>
      </x:c>
      <x:c r="G10" s="117" t="str">
        <x:v>Пріоритет</x:v>
      </x:c>
      <x:c r="H10" s="117" t="str">
        <x:v>Коментар</x:v>
      </x:c>
    </x:row>
    <x:row r="11" ht="24" customHeight="1">
      <x:c r="A11" s="78" t="str">
        <x:f>RPO!A4</x:f>
        <x:v>Сайт інтернет-магазину</x:v>
      </x:c>
      <x:c r="B11" s="78" t="str">
        <x:f>RPO!B4</x:f>
        <x:v>Висока</x:v>
      </x:c>
      <x:c r="C11" s="124" t="n">
        <x:f>RPO!E4</x:f>
        <x:v>15</x:v>
      </x:c>
      <x:c r="D11" s="124" t="n">
        <x:f>RTO!E4</x:f>
        <x:v>30</x:v>
      </x:c>
      <x:c r="E11" s="78" t="str">
        <x:f>IF(C11&lt;60,C11&amp;" хв",ROUND(C11/60,1)&amp;" год")</x:f>
        <x:v>15 хв</x:v>
      </x:c>
      <x:c r="F11" s="78" t="str">
        <x:f>IF(D11&lt;60,D11&amp;" хв",ROUND(D11/60,1)&amp;" год")</x:f>
        <x:v>30 хв</x:v>
      </x:c>
      <x:c r="G11" s="78" t="str">
        <x:f>IF(OR(B11="Висока",D11&lt;=60),"1 — відновлювати першою",IF(D11&lt;=240,"2 — після критичних систем","3 — планове відновлення"))</x:f>
        <x:v>1 — відновлювати першою</x:v>
      </x:c>
      <x:c r="H11" s="78" t="str">
        <x:f>IF(D11&gt;240,"Можна відновлювати пізніше",IF(C11&lt;=30,"Потрібна часта синхронізація","Потрібен контроль backup"))</x:f>
        <x:v>Потрібна часта синхронізація</x:v>
      </x:c>
    </x:row>
    <x:row r="12" ht="24" customHeight="1">
      <x:c r="A12" s="78" t="str">
        <x:f>RPO!A5</x:f>
        <x:v>База замовлень</x:v>
      </x:c>
      <x:c r="B12" s="78" t="str">
        <x:f>RPO!B5</x:f>
        <x:v>Висока</x:v>
      </x:c>
      <x:c r="C12" s="124" t="n">
        <x:f>RPO!E5</x:f>
        <x:v>5</x:v>
      </x:c>
      <x:c r="D12" s="124" t="n">
        <x:f>RTO!E5</x:f>
        <x:v>60</x:v>
      </x:c>
      <x:c r="E12" s="78" t="str">
        <x:f>IF(C12&lt;60,C12&amp;" хв",ROUND(C12/60,1)&amp;" год")</x:f>
        <x:v>5 хв</x:v>
      </x:c>
      <x:c r="F12" s="78" t="str">
        <x:f>IF(D12&lt;60,D12&amp;" хв",ROUND(D12/60,1)&amp;" год")</x:f>
        <x:v>1 год</x:v>
      </x:c>
      <x:c r="G12" s="78" t="str">
        <x:f>IF(OR(B12="Висока",D12&lt;=60),"1 — відновлювати першою",IF(D12&lt;=240,"2 — після критичних систем","3 — планове відновлення"))</x:f>
        <x:v>1 — відновлювати першою</x:v>
      </x:c>
      <x:c r="H12" s="78" t="str">
        <x:f>IF(D12&gt;240,"Можна відновлювати пізніше",IF(C12&lt;=30,"Потрібна часта синхронізація","Потрібен контроль backup"))</x:f>
        <x:v>Потрібна часта синхронізація</x:v>
      </x:c>
    </x:row>
    <x:row r="13" ht="24" customHeight="1">
      <x:c r="A13" s="78" t="str">
        <x:f>RPO!A6</x:f>
        <x:v>Платіжна інтеграція</x:v>
      </x:c>
      <x:c r="B13" s="78" t="str">
        <x:f>RPO!B6</x:f>
        <x:v>Висока</x:v>
      </x:c>
      <x:c r="C13" s="124" t="n">
        <x:f>RPO!E6</x:f>
        <x:v>5</x:v>
      </x:c>
      <x:c r="D13" s="124" t="n">
        <x:f>RTO!E6</x:f>
        <x:v>60</x:v>
      </x:c>
      <x:c r="E13" s="78" t="str">
        <x:f>IF(C13&lt;60,C13&amp;" хв",ROUND(C13/60,1)&amp;" год")</x:f>
        <x:v>5 хв</x:v>
      </x:c>
      <x:c r="F13" s="78" t="str">
        <x:f>IF(D13&lt;60,D13&amp;" хв",ROUND(D13/60,1)&amp;" год")</x:f>
        <x:v>1 год</x:v>
      </x:c>
      <x:c r="G13" s="78" t="str">
        <x:f>IF(OR(B13="Висока",D13&lt;=60),"1 — відновлювати першою",IF(D13&lt;=240,"2 — після критичних систем","3 — планове відновлення"))</x:f>
        <x:v>1 — відновлювати першою</x:v>
      </x:c>
      <x:c r="H13" s="78" t="str">
        <x:f>IF(D13&gt;240,"Можна відновлювати пізніше",IF(C13&lt;=30,"Потрібна часта синхронізація","Потрібен контроль backup"))</x:f>
        <x:v>Потрібна часта синхронізація</x:v>
      </x:c>
    </x:row>
    <x:row r="14" ht="24" customHeight="1">
      <x:c r="A14" s="78" t="str">
        <x:f>RPO!A7</x:f>
        <x:v>Складський облік</x:v>
      </x:c>
      <x:c r="B14" s="78" t="str">
        <x:f>RPO!B7</x:f>
        <x:v>Середня</x:v>
      </x:c>
      <x:c r="C14" s="124" t="n">
        <x:f>RPO!E7</x:f>
        <x:v>30</x:v>
      </x:c>
      <x:c r="D14" s="124" t="n">
        <x:f>RTO!E7</x:f>
        <x:v>180</x:v>
      </x:c>
      <x:c r="E14" s="78" t="str">
        <x:f>IF(C14&lt;60,C14&amp;" хв",ROUND(C14/60,1)&amp;" год")</x:f>
        <x:v>30 хв</x:v>
      </x:c>
      <x:c r="F14" s="78" t="str">
        <x:f>IF(D14&lt;60,D14&amp;" хв",ROUND(D14/60,1)&amp;" год")</x:f>
        <x:v>3 год</x:v>
      </x:c>
      <x:c r="G14" s="78" t="str">
        <x:f>IF(OR(B14="Висока",D14&lt;=60),"1 — відновлювати першою",IF(D14&lt;=240,"2 — після критичних систем","3 — планове відновлення"))</x:f>
        <x:v>2 — після критичних систем</x:v>
      </x:c>
      <x:c r="H14" s="78" t="str">
        <x:f>IF(D14&gt;240,"Можна відновлювати пізніше",IF(C14&lt;=30,"Потрібна часта синхронізація","Потрібен контроль backup"))</x:f>
        <x:v>Потрібна часта синхронізація</x:v>
      </x:c>
    </x:row>
    <x:row r="15" ht="24" customHeight="1">
      <x:c r="A15" s="78" t="str">
        <x:f>RPO!A8</x:f>
        <x:v>CRM та підтримка клієнтів</x:v>
      </x:c>
      <x:c r="B15" s="78" t="str">
        <x:f>RPO!B8</x:f>
        <x:v>Середня</x:v>
      </x:c>
      <x:c r="C15" s="124" t="n">
        <x:f>RPO!E8</x:f>
        <x:v>60</x:v>
      </x:c>
      <x:c r="D15" s="124" t="n">
        <x:f>RTO!E8</x:f>
        <x:v>240</x:v>
      </x:c>
      <x:c r="E15" s="78" t="str">
        <x:f>IF(C15&lt;60,C15&amp;" хв",ROUND(C15/60,1)&amp;" год")</x:f>
        <x:v>1 год</x:v>
      </x:c>
      <x:c r="F15" s="78" t="str">
        <x:f>IF(D15&lt;60,D15&amp;" хв",ROUND(D15/60,1)&amp;" год")</x:f>
        <x:v>4 год</x:v>
      </x:c>
      <x:c r="G15" s="78" t="str">
        <x:f>IF(OR(B15="Висока",D15&lt;=60),"1 — відновлювати першою",IF(D15&lt;=240,"2 — після критичних систем","3 — планове відновлення"))</x:f>
        <x:v>2 — після критичних систем</x:v>
      </x:c>
      <x:c r="H15" s="78" t="str">
        <x:f>IF(D15&gt;240,"Можна відновлювати пізніше",IF(C15&lt;=30,"Потрібна часта синхронізація","Потрібен контроль backup"))</x:f>
        <x:v>Потрібен контроль backup</x:v>
      </x:c>
    </x:row>
    <x:row r="16" ht="24" customHeight="1">
      <x:c r="A16" s="78" t="str">
        <x:f>RPO!A9</x:f>
        <x:v>Файлове сховище документів</x:v>
      </x:c>
      <x:c r="B16" s="78" t="str">
        <x:f>RPO!B9</x:f>
        <x:v>Низька/середня</x:v>
      </x:c>
      <x:c r="C16" s="124" t="n">
        <x:f>RPO!E9</x:f>
        <x:v>720</x:v>
      </x:c>
      <x:c r="D16" s="124" t="n">
        <x:f>RTO!E9</x:f>
        <x:v>480</x:v>
      </x:c>
      <x:c r="E16" s="78" t="str">
        <x:f>IF(C16&lt;60,C16&amp;" хв",ROUND(C16/60,1)&amp;" год")</x:f>
        <x:v>12 год</x:v>
      </x:c>
      <x:c r="F16" s="78" t="str">
        <x:f>IF(D16&lt;60,D16&amp;" хв",ROUND(D16/60,1)&amp;" год")</x:f>
        <x:v>8 год</x:v>
      </x:c>
      <x:c r="G16" s="78" t="str">
        <x:f>IF(OR(B16="Висока",D16&lt;=60),"1 — відновлювати першою",IF(D16&lt;=240,"2 — після критичних систем","3 — планове відновлення"))</x:f>
        <x:v>3 — планове відновлення</x:v>
      </x:c>
      <x:c r="H16" s="78" t="str">
        <x:f>IF(D16&gt;240,"Можна відновлювати пізніше",IF(C16&lt;=30,"Потрібна часта синхронізація","Потрібен контроль backup"))</x:f>
        <x:v>Можна відновлювати пізніше</x:v>
      </x:c>
    </x:row>
    <x:row r="17" ht="24" customHeight="1">
      <x:c r="A17" s="78" t="str">
        <x:f>RPO!A10</x:f>
        <x:v>Логи безпеки та системні журнали</x:v>
      </x:c>
      <x:c r="B17" s="78" t="str">
        <x:f>RPO!B10</x:f>
        <x:v>Середня</x:v>
      </x:c>
      <x:c r="C17" s="124" t="n">
        <x:f>RPO!E10</x:f>
        <x:v>1440</x:v>
      </x:c>
      <x:c r="D17" s="124" t="n">
        <x:f>RTO!E10</x:f>
        <x:v>720</x:v>
      </x:c>
      <x:c r="E17" s="78" t="str">
        <x:f>IF(C17&lt;60,C17&amp;" хв",ROUND(C17/60,1)&amp;" год")</x:f>
        <x:v>24 год</x:v>
      </x:c>
      <x:c r="F17" s="78" t="str">
        <x:f>IF(D17&lt;60,D17&amp;" хв",ROUND(D17/60,1)&amp;" год")</x:f>
        <x:v>12 год</x:v>
      </x:c>
      <x:c r="G17" s="78" t="str">
        <x:f>IF(OR(B17="Висока",D17&lt;=60),"1 — відновлювати першою",IF(D17&lt;=240,"2 — після критичних систем","3 — планове відновлення"))</x:f>
        <x:v>3 — планове відновлення</x:v>
      </x:c>
      <x:c r="H17" s="78" t="str">
        <x:f>IF(D17&gt;240,"Можна відновлювати пізніше",IF(C17&lt;=30,"Потрібна часта синхронізація","Потрібен контроль backup"))</x:f>
        <x:v>Можна відновлювати пізніше</x:v>
      </x:c>
    </x:row>
    <x:row r="18" ht="44" customHeight="1">
      <x:c r="A18" s="121" t="str">
        <x:v>Ключовий висновок: першими відновлюються сайт, база замовлень і платежі; для них потрібні найменші RPO/RTO та автоматизовані резервні рішення.</x:v>
      </x:c>
      <x:c r="B18" s="121"/>
      <x:c r="C18" s="121"/>
      <x:c r="D18" s="121"/>
      <x:c r="E18" s="121"/>
      <x:c r="F18" s="121"/>
      <x:c r="G18" s="121"/>
      <x:c r="H18" s="121"/>
    </x:row>
    <x:row r="19" ht="24" customHeight="1">
      <x:c r="A19" s="78"/>
      <x:c r="B19" s="78"/>
      <x:c r="C19" s="78"/>
      <x:c r="D19" s="78"/>
      <x:c r="E19" s="78"/>
      <x:c r="F19" s="78"/>
      <x:c r="G19" s="78"/>
      <x:c r="H19" s="78"/>
    </x:row>
    <x:row r="20" ht="24" customHeight="1">
      <x:c r="A20" s="78"/>
      <x:c r="B20" s="78"/>
      <x:c r="C20" s="78"/>
      <x:c r="D20" s="78"/>
      <x:c r="E20" s="78"/>
      <x:c r="F20" s="78"/>
      <x:c r="G20" s="78"/>
      <x:c r="H20" s="78"/>
    </x:row>
    <x:row r="21" ht="24" customHeight="1">
      <x:c r="A21" s="78"/>
      <x:c r="B21" s="78"/>
      <x:c r="C21" s="78"/>
      <x:c r="D21" s="78"/>
      <x:c r="E21" s="78"/>
      <x:c r="F21" s="78"/>
      <x:c r="G21" s="78"/>
      <x:c r="H21" s="78"/>
    </x:row>
    <x:row r="22" ht="24" customHeight="1">
      <x:c r="A22" s="78"/>
      <x:c r="B22" s="78"/>
      <x:c r="C22" s="78"/>
      <x:c r="D22" s="78"/>
      <x:c r="E22" s="78"/>
      <x:c r="F22" s="78"/>
      <x:c r="G22" s="78"/>
      <x:c r="H22" s="78"/>
    </x:row>
    <x:row r="23" ht="24" customHeight="1">
      <x:c r="A23" s="78"/>
      <x:c r="B23" s="78"/>
      <x:c r="C23" s="78"/>
      <x:c r="D23" s="78"/>
      <x:c r="E23" s="78"/>
      <x:c r="F23" s="78"/>
      <x:c r="G23" s="78"/>
      <x:c r="H23" s="78"/>
    </x:row>
    <x:row r="24" ht="24" customHeight="1">
      <x:c r="A24" s="78"/>
      <x:c r="B24" s="78"/>
      <x:c r="C24" s="78"/>
      <x:c r="D24" s="78"/>
      <x:c r="E24" s="78"/>
      <x:c r="F24" s="78"/>
      <x:c r="G24" s="78"/>
      <x:c r="H24" s="78"/>
    </x:row>
    <x:row r="25" ht="24" customHeight="1">
      <x:c r="A25" s="78"/>
      <x:c r="B25" s="78"/>
      <x:c r="C25" s="78"/>
      <x:c r="D25" s="78"/>
      <x:c r="E25" s="78"/>
      <x:c r="F25" s="78"/>
      <x:c r="G25" s="78"/>
      <x:c r="H25" s="78"/>
    </x:row>
    <x:row r="26" ht="24" customHeight="1">
      <x:c r="A26" s="78"/>
      <x:c r="B26" s="78"/>
      <x:c r="C26" s="78"/>
      <x:c r="D26" s="78"/>
      <x:c r="E26" s="78"/>
      <x:c r="F26" s="78"/>
      <x:c r="G26" s="78"/>
      <x:c r="H26" s="78"/>
    </x:row>
    <x:row r="27" ht="24" customHeight="1">
      <x:c r="A27" s="78"/>
      <x:c r="B27" s="78"/>
      <x:c r="C27" s="78"/>
      <x:c r="D27" s="78"/>
      <x:c r="E27" s="78"/>
      <x:c r="F27" s="78"/>
      <x:c r="G27" s="78"/>
      <x:c r="H27" s="78"/>
    </x:row>
    <x:row r="28" ht="24" customHeight="1">
      <x:c r="A28" s="78"/>
      <x:c r="B28" s="78"/>
      <x:c r="C28" s="78"/>
      <x:c r="D28" s="78"/>
      <x:c r="E28" s="78"/>
      <x:c r="F28" s="78"/>
      <x:c r="G28" s="78"/>
      <x:c r="H28" s="78"/>
    </x:row>
    <x:row r="29" ht="24" customHeight="1">
      <x:c r="A29" s="78"/>
      <x:c r="B29" s="78"/>
      <x:c r="C29" s="78"/>
      <x:c r="D29" s="78"/>
      <x:c r="E29" s="78"/>
      <x:c r="F29" s="78"/>
      <x:c r="G29" s="78"/>
      <x:c r="H29" s="78"/>
    </x:row>
    <x:row r="30" ht="24" customHeight="1">
      <x:c r="A30" s="78"/>
      <x:c r="B30" s="78"/>
      <x:c r="C30" s="78"/>
      <x:c r="D30" s="78"/>
      <x:c r="E30" s="78"/>
      <x:c r="F30" s="78"/>
      <x:c r="G30" s="78"/>
      <x:c r="H30" s="78"/>
    </x:row>
    <x:row r="31" ht="24" customHeight="1">
      <x:c r="A31" s="78"/>
      <x:c r="B31" s="78"/>
      <x:c r="C31" s="78"/>
      <x:c r="D31" s="78"/>
      <x:c r="E31" s="78"/>
      <x:c r="F31" s="78"/>
      <x:c r="G31" s="78"/>
      <x:c r="H31" s="78"/>
    </x:row>
    <x:row r="32" ht="24" customHeight="1">
      <x:c r="A32" s="78"/>
      <x:c r="B32" s="78"/>
      <x:c r="C32" s="78"/>
      <x:c r="D32" s="78"/>
      <x:c r="E32" s="78"/>
      <x:c r="F32" s="78"/>
      <x:c r="G32" s="78"/>
      <x:c r="H32" s="78"/>
    </x:row>
    <x:row r="33" ht="24" customHeight="1">
      <x:c r="A33" s="78"/>
      <x:c r="B33" s="78"/>
      <x:c r="C33" s="78"/>
      <x:c r="D33" s="78"/>
      <x:c r="E33" s="78"/>
      <x:c r="F33" s="78"/>
      <x:c r="G33" s="78"/>
      <x:c r="H33" s="78"/>
    </x:row>
    <x:row r="34" ht="24" customHeight="1">
      <x:c r="A34" s="78"/>
      <x:c r="B34" s="78"/>
      <x:c r="C34" s="78"/>
      <x:c r="D34" s="78"/>
      <x:c r="E34" s="78"/>
      <x:c r="F34" s="78"/>
      <x:c r="G34" s="78"/>
      <x:c r="H34" s="78"/>
    </x:row>
    <x:row r="35" ht="24" customHeight="1">
      <x:c r="A35" s="78"/>
      <x:c r="B35" s="78"/>
      <x:c r="C35" s="78"/>
      <x:c r="D35" s="78"/>
      <x:c r="E35" s="78"/>
      <x:c r="F35" s="78"/>
      <x:c r="G35" s="78"/>
      <x:c r="H35" s="78"/>
    </x:row>
    <x:row r="36" ht="24" customHeight="1">
      <x:c r="A36" s="78"/>
      <x:c r="B36" s="78"/>
      <x:c r="C36" s="78"/>
      <x:c r="D36" s="78"/>
      <x:c r="E36" s="78"/>
      <x:c r="F36" s="78"/>
      <x:c r="G36" s="78"/>
      <x:c r="H36" s="78"/>
    </x:row>
    <x:row r="37" ht="24" customHeight="1">
      <x:c r="A37" s="78"/>
      <x:c r="B37" s="78"/>
      <x:c r="C37" s="78"/>
      <x:c r="D37" s="78"/>
      <x:c r="E37" s="78"/>
      <x:c r="F37" s="78"/>
      <x:c r="G37" s="78"/>
      <x:c r="H37" s="78"/>
    </x:row>
    <x:row r="38" ht="24" customHeight="1">
      <x:c r="A38" s="78"/>
      <x:c r="B38" s="78"/>
      <x:c r="C38" s="78"/>
      <x:c r="D38" s="78"/>
      <x:c r="E38" s="78"/>
      <x:c r="F38" s="78"/>
      <x:c r="G38" s="78"/>
      <x:c r="H38" s="78"/>
    </x:row>
    <x:row r="39" ht="24" customHeight="1">
      <x:c r="A39" s="78"/>
      <x:c r="B39" s="78"/>
      <x:c r="C39" s="78"/>
      <x:c r="D39" s="78"/>
      <x:c r="E39" s="78"/>
      <x:c r="F39" s="78"/>
      <x:c r="G39" s="78"/>
      <x:c r="H39" s="78"/>
    </x:row>
    <x:row r="40" ht="24" customHeight="1">
      <x:c r="A40" s="78"/>
      <x:c r="B40" s="78"/>
      <x:c r="C40" s="78"/>
      <x:c r="D40" s="78"/>
      <x:c r="E40" s="78"/>
      <x:c r="F40" s="78"/>
      <x:c r="G40" s="78"/>
      <x:c r="H40" s="78"/>
    </x:row>
  </x:sheetData>
  <x:mergeCells>
    <x:mergeCell ref="A1:H1"/>
    <x:mergeCell ref="A2:H3"/>
    <x:mergeCell ref="A5:B5"/>
    <x:mergeCell ref="C5:D5"/>
    <x:mergeCell ref="E5:F5"/>
    <x:mergeCell ref="G5:H5"/>
    <x:mergeCell ref="A6:B7"/>
    <x:mergeCell ref="C6:D7"/>
    <x:mergeCell ref="E6:F7"/>
    <x:mergeCell ref="G6:H7"/>
    <x:mergeCell ref="A9:H9"/>
    <x:mergeCell ref="A18:H18"/>
  </x:mergeCells>
  <x:conditionalFormatting sqref="B11:B17">
    <x:cfRule type="expression" dxfId="6" priority="1">
      <x:formula>B11="Висока"</x:formula>
    </x:cfRule>
    <x:cfRule type="expression" dxfId="7" priority="2">
      <x:formula>B11="Середня"</x:formula>
    </x:cfRule>
    <x:cfRule type="expression" dxfId="8" priority="3">
      <x:formula>B11="Низька/середня"</x:formula>
    </x:cfRule>
  </x:conditionalFormatting>
  <x:conditionalFormatting sqref="C11:D17">
    <x:cfRule type="colorScale" priority="4">
      <x:colorScale>
        <x:cfvo type="min"/>
        <x:cfvo type="percentile" val="50"/>
        <x:cfvo type="max"/>
        <x:color rgb="DCFCE7"/>
        <x:color rgb="FEF3C7"/>
        <x:color rgb="FEE2E2"/>
      </x:colorScale>
    </x:cfRule>
  </x:conditionalFormatting>
  <x:pageMargins left="0.7" right="0.7" top="0.75" bottom="0.75" header="0.3" footer="0.3"/>
  <x:drawing xmlns:r="http://schemas.openxmlformats.org/officeDocument/2006/relationships" r:id="R395182b99f0c4ae5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7" hidden="0" customWidth="1"/>
    <x:col min="4" max="4" width="17" hidden="0" customWidth="1"/>
    <x:col min="5" max="5" width="12" hidden="0" customWidth="1"/>
    <x:col min="6" max="6" width="12" hidden="0" customWidth="1"/>
    <x:col min="7" max="7" width="42" hidden="0" customWidth="1"/>
    <x:col min="8" max="8" width="42" hidden="0" customWidth="1"/>
  </x:cols>
  <x:sheetData>
    <x:row r="1" ht="30" customHeight="1">
      <x:c r="A1" s="105" t="str">
        <x:v>1. Допустимий RPO для різних систем</x:v>
      </x:c>
      <x:c r="B1" s="105"/>
      <x:c r="C1" s="105"/>
      <x:c r="D1" s="105"/>
      <x:c r="E1" s="105"/>
      <x:c r="F1" s="105"/>
      <x:c r="G1" s="105"/>
      <x:c r="H1" s="105"/>
    </x:row>
    <x:row r="2" ht="24" customHeight="1">
      <x:c r="A2" s="78"/>
      <x:c r="B2" s="78"/>
      <x:c r="C2" s="78"/>
      <x:c r="D2" s="78"/>
      <x:c r="E2" s="78"/>
      <x:c r="F2" s="78"/>
      <x:c r="G2" s="78"/>
      <x:c r="H2" s="78"/>
    </x:row>
    <x:row r="3" ht="24" customHeight="1">
      <x:c r="A3" s="117" t="str">
        <x:v>Система</x:v>
      </x:c>
      <x:c r="B3" s="117" t="str">
        <x:v>Критичність</x:v>
      </x:c>
      <x:c r="C3" s="117" t="str">
        <x:v>Інтервал backup, хв</x:v>
      </x:c>
      <x:c r="D3" s="117" t="str">
        <x:v>Затримка реплікації, хв</x:v>
      </x:c>
      <x:c r="E3" s="117" t="str">
        <x:v>RPO, хв</x:v>
      </x:c>
      <x:c r="F3" s="117" t="str">
        <x:v>RPO, формат</x:v>
      </x:c>
      <x:c r="G3" s="117" t="str">
        <x:v>Що це означає?</x:v>
      </x:c>
      <x:c r="H3" s="117" t="str">
        <x:v>Як забезпечити</x:v>
      </x:c>
    </x:row>
    <x:row r="4" ht="24" customHeight="1">
      <x:c r="A4" s="78" t="str">
        <x:v>Сайт інтернет-магазину</x:v>
      </x:c>
      <x:c r="B4" s="78" t="str">
        <x:v>Висока</x:v>
      </x:c>
      <x:c r="C4" s="124" t="n">
        <x:v>15</x:v>
      </x:c>
      <x:c r="D4" s="124" t="n">
        <x:v>0</x:v>
      </x:c>
      <x:c r="E4" s="124" t="n">
        <x:f>C4+D4</x:f>
        <x:v>15</x:v>
      </x:c>
      <x:c r="F4" s="78" t="str">
        <x:f>IF(E4&lt;60,E4&amp;" хв",ROUND(E4/60,1)&amp;" год")</x:f>
        <x:v>15 хв</x:v>
      </x:c>
      <x:c r="G4" s="78" t="str">
        <x:v>Сайт має використовувати актуальну версію каталогу, кошика та сесій клієнтів.</x:v>
      </x:c>
      <x:c r="H4" s="78" t="str">
        <x:v>CDN + резервний вебсервер + копія конфігурації кожні 15 хвилин</x:v>
      </x:c>
    </x:row>
    <x:row r="5" ht="24" customHeight="1">
      <x:c r="A5" s="78" t="str">
        <x:v>База замовлень</x:v>
      </x:c>
      <x:c r="B5" s="78" t="str">
        <x:v>Висока</x:v>
      </x:c>
      <x:c r="C5" s="124" t="n">
        <x:v>5</x:v>
      </x:c>
      <x:c r="D5" s="124" t="n">
        <x:v>0</x:v>
      </x:c>
      <x:c r="E5" s="124" t="n">
        <x:f>C5+D5</x:f>
        <x:v>5</x:v>
      </x:c>
      <x:c r="F5" s="78" t="str">
        <x:f>IF(E5&lt;60,E5&amp;" хв",ROUND(E5/60,1)&amp;" год")</x:f>
        <x:v>5 хв</x:v>
      </x:c>
      <x:c r="G5" s="78" t="str">
        <x:v>Компанія може втратити максимум 5 хвилин нових замовлень.</x:v>
      </x:c>
      <x:c r="H5" s="78" t="str">
        <x:v>Реплікація майже в реальному часі + backup кожні 5 хвилин</x:v>
      </x:c>
    </x:row>
    <x:row r="6" ht="24" customHeight="1">
      <x:c r="A6" s="78" t="str">
        <x:v>Платіжна інтеграція</x:v>
      </x:c>
      <x:c r="B6" s="78" t="str">
        <x:v>Висока</x:v>
      </x:c>
      <x:c r="C6" s="124" t="n">
        <x:v>5</x:v>
      </x:c>
      <x:c r="D6" s="124" t="n">
        <x:v>0</x:v>
      </x:c>
      <x:c r="E6" s="124" t="n">
        <x:f>C6+D6</x:f>
        <x:v>5</x:v>
      </x:c>
      <x:c r="F6" s="78" t="str">
        <x:f>IF(E6&lt;60,E6&amp;" хв",ROUND(E6/60,1)&amp;" год")</x:f>
        <x:v>5 хв</x:v>
      </x:c>
      <x:c r="G6" s="78" t="str">
        <x:v>Втрата платіжних транзакцій неприпустима або має бути мінімальною.</x:v>
      </x:c>
      <x:c r="H6" s="78" t="str">
        <x:v>Зовнішній платіжний провайдер + журналювання транзакцій</x:v>
      </x:c>
    </x:row>
    <x:row r="7" ht="24" customHeight="1">
      <x:c r="A7" s="78" t="str">
        <x:v>Складський облік</x:v>
      </x:c>
      <x:c r="B7" s="78" t="str">
        <x:v>Середня</x:v>
      </x:c>
      <x:c r="C7" s="124" t="n">
        <x:v>30</x:v>
      </x:c>
      <x:c r="D7" s="124" t="n">
        <x:v>0</x:v>
      </x:c>
      <x:c r="E7" s="124" t="n">
        <x:f>C7+D7</x:f>
        <x:v>30</x:v>
      </x:c>
      <x:c r="F7" s="78" t="str">
        <x:f>IF(E7&lt;60,E7&amp;" хв",ROUND(E7/60,1)&amp;" год")</x:f>
        <x:v>30 хв</x:v>
      </x:c>
      <x:c r="G7" s="78" t="str">
        <x:v>Можлива незначна неточність у залишках товарів, яку можна звірити після відновлення.</x:v>
      </x:c>
      <x:c r="H7" s="78" t="str">
        <x:v>Інкрементальний backup кожні 30 хвилин</x:v>
      </x:c>
    </x:row>
    <x:row r="8" ht="24" customHeight="1">
      <x:c r="A8" s="78" t="str">
        <x:v>CRM та підтримка клієнтів</x:v>
      </x:c>
      <x:c r="B8" s="78" t="str">
        <x:v>Середня</x:v>
      </x:c>
      <x:c r="C8" s="124" t="n">
        <x:v>60</x:v>
      </x:c>
      <x:c r="D8" s="124" t="n">
        <x:v>0</x:v>
      </x:c>
      <x:c r="E8" s="124" t="n">
        <x:f>C8+D8</x:f>
        <x:v>60</x:v>
      </x:c>
      <x:c r="F8" s="78" t="str">
        <x:f>IF(E8&lt;60,E8&amp;" хв",ROUND(E8/60,1)&amp;" год")</x:f>
        <x:v>1 год</x:v>
      </x:c>
      <x:c r="G8" s="78" t="str">
        <x:v>Втрата частини звернень клієнтів за останню годину небажана, але не блокує продажі повністю.</x:v>
      </x:c>
      <x:c r="H8" s="78" t="str">
        <x:v>Погодинне резервне копіювання + хмарна копія</x:v>
      </x:c>
    </x:row>
    <x:row r="9" ht="24" customHeight="1">
      <x:c r="A9" s="78" t="str">
        <x:v>Файлове сховище документів</x:v>
      </x:c>
      <x:c r="B9" s="78" t="str">
        <x:v>Низька/середня</x:v>
      </x:c>
      <x:c r="C9" s="124" t="n">
        <x:v>720</x:v>
      </x:c>
      <x:c r="D9" s="124" t="n">
        <x:v>0</x:v>
      </x:c>
      <x:c r="E9" s="124" t="n">
        <x:f>C9+D9</x:f>
        <x:v>720</x:v>
      </x:c>
      <x:c r="F9" s="78" t="str">
        <x:f>IF(E9&lt;60,E9&amp;" хв",ROUND(E9/60,1)&amp;" год")</x:f>
        <x:v>12 год</x:v>
      </x:c>
      <x:c r="G9" s="78" t="str">
        <x:v>Документи змінюються нечасто, тому допустима втрата останніх змін за пів дня.</x:v>
      </x:c>
      <x:c r="H9" s="78" t="str">
        <x:v>Резервне копіювання 2 рази на день</x:v>
      </x:c>
    </x:row>
    <x:row r="10" ht="24" customHeight="1">
      <x:c r="A10" s="78" t="str">
        <x:v>Логи безпеки та системні журнали</x:v>
      </x:c>
      <x:c r="B10" s="78" t="str">
        <x:v>Середня</x:v>
      </x:c>
      <x:c r="C10" s="124" t="n">
        <x:v>1440</x:v>
      </x:c>
      <x:c r="D10" s="124" t="n">
        <x:v>0</x:v>
      </x:c>
      <x:c r="E10" s="124" t="n">
        <x:f>C10+D10</x:f>
        <x:v>1440</x:v>
      </x:c>
      <x:c r="F10" s="78" t="str">
        <x:f>IF(E10&lt;60,E10&amp;" хв",ROUND(E10/60,1)&amp;" год")</x:f>
        <x:v>24 год</x:v>
      </x:c>
      <x:c r="G10" s="78" t="str">
        <x:v>Частина логів може бути втрачена, але бажано зберегти їх для розслідування.</x:v>
      </x:c>
      <x:c r="H10" s="78" t="str">
        <x:v>Щоденне архівування + передача логів у SIEM</x:v>
      </x:c>
    </x:row>
    <x:row r="11" ht="24" customHeight="1">
      <x:c r="A11" s="78"/>
      <x:c r="B11" s="78"/>
      <x:c r="C11" s="78"/>
      <x:c r="D11" s="78"/>
      <x:c r="E11" s="78"/>
      <x:c r="F11" s="78"/>
      <x:c r="G11" s="78"/>
      <x:c r="H11" s="78"/>
    </x:row>
    <x:row r="12" ht="24" customHeight="1">
      <x:c r="A12" s="78"/>
      <x:c r="B12" s="78"/>
      <x:c r="C12" s="78"/>
      <x:c r="D12" s="78"/>
      <x:c r="E12" s="78"/>
      <x:c r="F12" s="78"/>
      <x:c r="G12" s="78"/>
      <x:c r="H12" s="78"/>
    </x:row>
    <x:row r="13" ht="24" customHeight="1">
      <x:c r="A13" s="78"/>
      <x:c r="B13" s="78"/>
      <x:c r="C13" s="78"/>
      <x:c r="D13" s="78"/>
      <x:c r="E13" s="78"/>
      <x:c r="F13" s="78"/>
      <x:c r="G13" s="78"/>
      <x:c r="H13" s="78"/>
    </x:row>
    <x:row r="14" ht="24" customHeight="1">
      <x:c r="A14" s="78"/>
      <x:c r="B14" s="78"/>
      <x:c r="C14" s="78"/>
      <x:c r="D14" s="78"/>
      <x:c r="E14" s="78"/>
      <x:c r="F14" s="78"/>
      <x:c r="G14" s="78"/>
      <x:c r="H14" s="78"/>
    </x:row>
    <x:row r="15" ht="24" customHeight="1">
      <x:c r="A15" s="78"/>
      <x:c r="B15" s="78"/>
      <x:c r="C15" s="78"/>
      <x:c r="D15" s="78"/>
      <x:c r="E15" s="78"/>
      <x:c r="F15" s="78"/>
      <x:c r="G15" s="78"/>
      <x:c r="H15" s="78"/>
    </x:row>
    <x:row r="16" ht="24" customHeight="1">
      <x:c r="A16" s="78"/>
      <x:c r="B16" s="78"/>
      <x:c r="C16" s="78"/>
      <x:c r="D16" s="78"/>
      <x:c r="E16" s="78"/>
      <x:c r="F16" s="78"/>
      <x:c r="G16" s="78"/>
      <x:c r="H16" s="78"/>
    </x:row>
    <x:row r="17" ht="24" customHeight="1">
      <x:c r="A17" s="78"/>
      <x:c r="B17" s="78"/>
      <x:c r="C17" s="78"/>
      <x:c r="D17" s="78"/>
      <x:c r="E17" s="78"/>
      <x:c r="F17" s="78"/>
      <x:c r="G17" s="78"/>
      <x:c r="H17" s="78"/>
    </x:row>
    <x:row r="18" ht="24" customHeight="1">
      <x:c r="A18" s="78"/>
      <x:c r="B18" s="78"/>
      <x:c r="C18" s="78"/>
      <x:c r="D18" s="78"/>
      <x:c r="E18" s="78"/>
      <x:c r="F18" s="78"/>
      <x:c r="G18" s="78"/>
      <x:c r="H18" s="78"/>
    </x:row>
    <x:row r="19" ht="24" customHeight="1">
      <x:c r="A19" s="78"/>
      <x:c r="B19" s="78"/>
      <x:c r="C19" s="78"/>
      <x:c r="D19" s="78"/>
      <x:c r="E19" s="78"/>
      <x:c r="F19" s="78"/>
      <x:c r="G19" s="78"/>
      <x:c r="H19" s="78"/>
    </x:row>
    <x:row r="20" ht="24" customHeight="1">
      <x:c r="A20" s="78"/>
      <x:c r="B20" s="78"/>
      <x:c r="C20" s="78"/>
      <x:c r="D20" s="78"/>
      <x:c r="E20" s="78"/>
      <x:c r="F20" s="78"/>
      <x:c r="G20" s="78"/>
      <x:c r="H20" s="78"/>
    </x:row>
    <x:row r="21" ht="24" customHeight="1">
      <x:c r="A21" s="78"/>
      <x:c r="B21" s="78"/>
      <x:c r="C21" s="78"/>
      <x:c r="D21" s="78"/>
      <x:c r="E21" s="78"/>
      <x:c r="F21" s="78"/>
      <x:c r="G21" s="78"/>
      <x:c r="H21" s="78"/>
    </x:row>
    <x:row r="22" ht="24" customHeight="1">
      <x:c r="A22" s="78"/>
      <x:c r="B22" s="78"/>
      <x:c r="C22" s="78"/>
      <x:c r="D22" s="78"/>
      <x:c r="E22" s="78"/>
      <x:c r="F22" s="78"/>
      <x:c r="G22" s="78"/>
      <x:c r="H22" s="78"/>
    </x:row>
    <x:row r="23" ht="24" customHeight="1">
      <x:c r="A23" s="78"/>
      <x:c r="B23" s="78"/>
      <x:c r="C23" s="78"/>
      <x:c r="D23" s="78"/>
      <x:c r="E23" s="78"/>
      <x:c r="F23" s="78"/>
      <x:c r="G23" s="78"/>
      <x:c r="H23" s="78"/>
    </x:row>
    <x:row r="24" ht="24" customHeight="1">
      <x:c r="A24" s="78"/>
      <x:c r="B24" s="78"/>
      <x:c r="C24" s="78"/>
      <x:c r="D24" s="78"/>
      <x:c r="E24" s="78"/>
      <x:c r="F24" s="78"/>
      <x:c r="G24" s="78"/>
      <x:c r="H24" s="78"/>
    </x:row>
    <x:row r="25" ht="24" customHeight="1">
      <x:c r="A25" s="78"/>
      <x:c r="B25" s="78"/>
      <x:c r="C25" s="78"/>
      <x:c r="D25" s="78"/>
      <x:c r="E25" s="78"/>
      <x:c r="F25" s="78"/>
      <x:c r="G25" s="78"/>
      <x:c r="H25" s="78"/>
    </x:row>
    <x:row r="26" ht="24" customHeight="1">
      <x:c r="A26" s="78"/>
      <x:c r="B26" s="78"/>
      <x:c r="C26" s="78"/>
      <x:c r="D26" s="78"/>
      <x:c r="E26" s="78"/>
      <x:c r="F26" s="78"/>
      <x:c r="G26" s="78"/>
      <x:c r="H26" s="78"/>
    </x:row>
    <x:row r="27" ht="24" customHeight="1">
      <x:c r="A27" s="78"/>
      <x:c r="B27" s="78"/>
      <x:c r="C27" s="78"/>
      <x:c r="D27" s="78"/>
      <x:c r="E27" s="78"/>
      <x:c r="F27" s="78"/>
      <x:c r="G27" s="78"/>
      <x:c r="H27" s="78"/>
    </x:row>
    <x:row r="28" ht="24" customHeight="1">
      <x:c r="A28" s="78"/>
      <x:c r="B28" s="78"/>
      <x:c r="C28" s="78"/>
      <x:c r="D28" s="78"/>
      <x:c r="E28" s="78"/>
      <x:c r="F28" s="78"/>
      <x:c r="G28" s="78"/>
      <x:c r="H28" s="78"/>
    </x:row>
    <x:row r="29" ht="24" customHeight="1">
      <x:c r="A29" s="78"/>
      <x:c r="B29" s="78"/>
      <x:c r="C29" s="78"/>
      <x:c r="D29" s="78"/>
      <x:c r="E29" s="78"/>
      <x:c r="F29" s="78"/>
      <x:c r="G29" s="78"/>
      <x:c r="H29" s="78"/>
    </x:row>
    <x:row r="30" ht="24" customHeight="1">
      <x:c r="A30" s="78"/>
      <x:c r="B30" s="78"/>
      <x:c r="C30" s="78"/>
      <x:c r="D30" s="78"/>
      <x:c r="E30" s="78"/>
      <x:c r="F30" s="78"/>
      <x:c r="G30" s="78"/>
      <x:c r="H30" s="78"/>
    </x:row>
    <x:row r="31" ht="24" customHeight="1">
      <x:c r="A31" s="78"/>
      <x:c r="B31" s="78"/>
      <x:c r="C31" s="78"/>
      <x:c r="D31" s="78"/>
      <x:c r="E31" s="78"/>
      <x:c r="F31" s="78"/>
      <x:c r="G31" s="78"/>
      <x:c r="H31" s="78"/>
    </x:row>
    <x:row r="32" ht="24" customHeight="1">
      <x:c r="A32" s="78"/>
      <x:c r="B32" s="78"/>
      <x:c r="C32" s="78"/>
      <x:c r="D32" s="78"/>
      <x:c r="E32" s="78"/>
      <x:c r="F32" s="78"/>
      <x:c r="G32" s="78"/>
      <x:c r="H32" s="78"/>
    </x:row>
    <x:row r="33" ht="24" customHeight="1">
      <x:c r="A33" s="78"/>
      <x:c r="B33" s="78"/>
      <x:c r="C33" s="78"/>
      <x:c r="D33" s="78"/>
      <x:c r="E33" s="78"/>
      <x:c r="F33" s="78"/>
      <x:c r="G33" s="78"/>
      <x:c r="H33" s="78"/>
    </x:row>
    <x:row r="34" ht="24" customHeight="1">
      <x:c r="A34" s="78"/>
      <x:c r="B34" s="78"/>
      <x:c r="C34" s="78"/>
      <x:c r="D34" s="78"/>
      <x:c r="E34" s="78"/>
      <x:c r="F34" s="78"/>
      <x:c r="G34" s="78"/>
      <x:c r="H34" s="78"/>
    </x:row>
    <x:row r="35" ht="24" customHeight="1">
      <x:c r="A35" s="78"/>
      <x:c r="B35" s="78"/>
      <x:c r="C35" s="78"/>
      <x:c r="D35" s="78"/>
      <x:c r="E35" s="78"/>
      <x:c r="F35" s="78"/>
      <x:c r="G35" s="78"/>
      <x:c r="H35" s="78"/>
    </x:row>
    <x:row r="36" ht="24" customHeight="1">
      <x:c r="A36" s="78"/>
      <x:c r="B36" s="78"/>
      <x:c r="C36" s="78"/>
      <x:c r="D36" s="78"/>
      <x:c r="E36" s="78"/>
      <x:c r="F36" s="78"/>
      <x:c r="G36" s="78"/>
      <x:c r="H36" s="78"/>
    </x:row>
    <x:row r="37" ht="24" customHeight="1">
      <x:c r="A37" s="78"/>
      <x:c r="B37" s="78"/>
      <x:c r="C37" s="78"/>
      <x:c r="D37" s="78"/>
      <x:c r="E37" s="78"/>
      <x:c r="F37" s="78"/>
      <x:c r="G37" s="78"/>
      <x:c r="H37" s="78"/>
    </x:row>
    <x:row r="38" ht="24" customHeight="1">
      <x:c r="A38" s="78"/>
      <x:c r="B38" s="78"/>
      <x:c r="C38" s="78"/>
      <x:c r="D38" s="78"/>
      <x:c r="E38" s="78"/>
      <x:c r="F38" s="78"/>
      <x:c r="G38" s="78"/>
      <x:c r="H38" s="78"/>
    </x:row>
    <x:row r="39" ht="24" customHeight="1">
      <x:c r="A39" s="78"/>
      <x:c r="B39" s="78"/>
      <x:c r="C39" s="78"/>
      <x:c r="D39" s="78"/>
      <x:c r="E39" s="78"/>
      <x:c r="F39" s="78"/>
      <x:c r="G39" s="78"/>
      <x:c r="H39" s="78"/>
    </x:row>
    <x:row r="40" ht="24" customHeight="1">
      <x:c r="A40" s="78"/>
      <x:c r="B40" s="78"/>
      <x:c r="C40" s="78"/>
      <x:c r="D40" s="78"/>
      <x:c r="E40" s="78"/>
      <x:c r="F40" s="78"/>
      <x:c r="G40" s="78"/>
      <x:c r="H40" s="78"/>
    </x:row>
  </x:sheetData>
  <x:mergeCells>
    <x:mergeCell ref="A1:H1"/>
  </x:mergeCells>
  <x:conditionalFormatting sqref="B4:B10">
    <x:cfRule type="expression" dxfId="0" priority="1">
      <x:formula>B4="Висока"</x:formula>
    </x:cfRule>
    <x:cfRule type="expression" dxfId="1" priority="2">
      <x:formula>B4="Середня"</x:formula>
    </x:cfRule>
    <x:cfRule type="expression" dxfId="2" priority="3">
      <x:formula>B4="Низька/середня"</x:formula>
    </x:cfRule>
  </x:conditionalFormatting>
  <x:conditionalFormatting sqref="E4:E10">
    <x:cfRule type="colorScale" priority="4">
      <x:colorScale>
        <x:cfvo type="min"/>
        <x:cfvo type="percentile" val="50"/>
        <x:cfvo type="max"/>
        <x:color rgb="DCFCE7"/>
        <x:color rgb="FEF3C7"/>
        <x:color rgb="FEE2E2"/>
      </x:colorScale>
    </x:cfRule>
  </x:conditionalFormatting>
  <x:dataValidations count="1">
    <x:dataValidation type="list" sqref="B4:B10">
      <x:formula1>"Висока,Середня,Низька/середня"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720e0465894c8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7" hidden="0" customWidth="1"/>
    <x:col min="4" max="4" width="17" hidden="0" customWidth="1"/>
    <x:col min="5" max="5" width="12" hidden="0" customWidth="1"/>
    <x:col min="6" max="6" width="12" hidden="0" customWidth="1"/>
    <x:col min="7" max="7" width="42" hidden="0" customWidth="1"/>
    <x:col min="8" max="8" width="42" hidden="0" customWidth="1"/>
  </x:cols>
  <x:sheetData>
    <x:row r="1" ht="30" customHeight="1">
      <x:c r="A1" s="105" t="str">
        <x:v>2. Допустимий RTO для різних систем</x:v>
      </x:c>
      <x:c r="B1" s="105"/>
      <x:c r="C1" s="105"/>
      <x:c r="D1" s="105"/>
      <x:c r="E1" s="105"/>
      <x:c r="F1" s="105"/>
      <x:c r="G1" s="105"/>
      <x:c r="H1" s="105"/>
    </x:row>
    <x:row r="2" ht="24" customHeight="1">
      <x:c r="A2" s="78"/>
      <x:c r="B2" s="78"/>
      <x:c r="C2" s="78"/>
      <x:c r="D2" s="78"/>
      <x:c r="E2" s="78"/>
      <x:c r="F2" s="78"/>
      <x:c r="G2" s="78"/>
      <x:c r="H2" s="78"/>
    </x:row>
    <x:row r="3" ht="24" customHeight="1">
      <x:c r="A3" s="117" t="str">
        <x:v>Система</x:v>
      </x:c>
      <x:c r="B3" s="117" t="str">
        <x:v>Критичність</x:v>
      </x:c>
      <x:c r="C3" s="117" t="str">
        <x:v>Час запуску резерву, хв</x:v>
      </x:c>
      <x:c r="D3" s="117" t="str">
        <x:v>Час перевірки, хв</x:v>
      </x:c>
      <x:c r="E3" s="117" t="str">
        <x:v>RTO, хв</x:v>
      </x:c>
      <x:c r="F3" s="117" t="str">
        <x:v>RTO, формат</x:v>
      </x:c>
      <x:c r="G3" s="117" t="str">
        <x:v>Що це означає?</x:v>
      </x:c>
      <x:c r="H3" s="117" t="str">
        <x:v>Резервне рішення</x:v>
      </x:c>
    </x:row>
    <x:row r="4" ht="24" customHeight="1">
      <x:c r="A4" s="78" t="str">
        <x:v>Сайт інтернет-магазину</x:v>
      </x:c>
      <x:c r="B4" s="78" t="str">
        <x:v>Висока</x:v>
      </x:c>
      <x:c r="C4" s="124" t="n">
        <x:v>20</x:v>
      </x:c>
      <x:c r="D4" s="124" t="n">
        <x:v>10</x:v>
      </x:c>
      <x:c r="E4" s="124" t="n">
        <x:f>C4+D4</x:f>
        <x:v>30</x:v>
      </x:c>
      <x:c r="F4" s="78" t="str">
        <x:f>IF(E4&lt;60,E4&amp;" хв",ROUND(E4/60,1)&amp;" год")</x:f>
        <x:v>30 хв</x:v>
      </x:c>
      <x:c r="G4" s="78" t="str">
        <x:v>Сайт має бути доступний клієнтам максимум через 30 хвилин після інциденту.</x:v>
      </x:c>
      <x:c r="H4" s="78" t="str">
        <x:v>Резервний вебсервер або хмарне середовище</x:v>
      </x:c>
    </x:row>
    <x:row r="5" ht="24" customHeight="1">
      <x:c r="A5" s="78" t="str">
        <x:v>База замовлень</x:v>
      </x:c>
      <x:c r="B5" s="78" t="str">
        <x:v>Висока</x:v>
      </x:c>
      <x:c r="C5" s="124" t="n">
        <x:v>40</x:v>
      </x:c>
      <x:c r="D5" s="124" t="n">
        <x:v>20</x:v>
      </x:c>
      <x:c r="E5" s="124" t="n">
        <x:f>C5+D5</x:f>
        <x:v>60</x:v>
      </x:c>
      <x:c r="F5" s="78" t="str">
        <x:f>IF(E5&lt;60,E5&amp;" хв",ROUND(E5/60,1)&amp;" год")</x:f>
        <x:v>1 год</x:v>
      </x:c>
      <x:c r="G5" s="78" t="str">
        <x:v>Замовлення мають бути відновлені максимум за 1 годину, інакше бізнес втрачатиме продажі.</x:v>
      </x:c>
      <x:c r="H5" s="78" t="str">
        <x:v>Реплікація бази даних + автоматизоване відновлення</x:v>
      </x:c>
    </x:row>
    <x:row r="6" ht="24" customHeight="1">
      <x:c r="A6" s="78" t="str">
        <x:v>Платіжна інтеграція</x:v>
      </x:c>
      <x:c r="B6" s="78" t="str">
        <x:v>Висока</x:v>
      </x:c>
      <x:c r="C6" s="124" t="n">
        <x:v>45</x:v>
      </x:c>
      <x:c r="D6" s="124" t="n">
        <x:v>15</x:v>
      </x:c>
      <x:c r="E6" s="124" t="n">
        <x:f>C6+D6</x:f>
        <x:v>60</x:v>
      </x:c>
      <x:c r="F6" s="78" t="str">
        <x:f>IF(E6&lt;60,E6&amp;" хв",ROUND(E6/60,1)&amp;" год")</x:f>
        <x:v>1 год</x:v>
      </x:c>
      <x:c r="G6" s="78" t="str">
        <x:v>Клієнти повинні знову мати можливість оплачувати замовлення протягом 1 години.</x:v>
      </x:c>
      <x:c r="H6" s="78" t="str">
        <x:v>Резервний канал інтеграції або fallback-провайдер</x:v>
      </x:c>
    </x:row>
    <x:row r="7" ht="24" customHeight="1">
      <x:c r="A7" s="78" t="str">
        <x:v>Складський облік</x:v>
      </x:c>
      <x:c r="B7" s="78" t="str">
        <x:v>Середня</x:v>
      </x:c>
      <x:c r="C7" s="124" t="n">
        <x:v>120</x:v>
      </x:c>
      <x:c r="D7" s="124" t="n">
        <x:v>60</x:v>
      </x:c>
      <x:c r="E7" s="124" t="n">
        <x:f>C7+D7</x:f>
        <x:v>180</x:v>
      </x:c>
      <x:c r="F7" s="78" t="str">
        <x:f>IF(E7&lt;60,E7&amp;" хв",ROUND(E7/60,1)&amp;" год")</x:f>
        <x:v>3 год</x:v>
      </x:c>
      <x:c r="G7" s="78" t="str">
        <x:v>Працівники складу можуть тимчасово працювати вручну, але не довше 3 годин.</x:v>
      </x:c>
      <x:c r="H7" s="78" t="str">
        <x:v>Резервна копія бази та окремий сервер</x:v>
      </x:c>
    </x:row>
    <x:row r="8" ht="24" customHeight="1">
      <x:c r="A8" s="78" t="str">
        <x:v>CRM та підтримка клієнтів</x:v>
      </x:c>
      <x:c r="B8" s="78" t="str">
        <x:v>Середня</x:v>
      </x:c>
      <x:c r="C8" s="124" t="n">
        <x:v>180</x:v>
      </x:c>
      <x:c r="D8" s="124" t="n">
        <x:v>60</x:v>
      </x:c>
      <x:c r="E8" s="124" t="n">
        <x:f>C8+D8</x:f>
        <x:v>240</x:v>
      </x:c>
      <x:c r="F8" s="78" t="str">
        <x:f>IF(E8&lt;60,E8&amp;" хв",ROUND(E8/60,1)&amp;" год")</x:f>
        <x:v>4 год</x:v>
      </x:c>
      <x:c r="G8" s="78" t="str">
        <x:v>Підтримка може працювати з обмеженнями, але тривалий простій погіршить сервіс.</x:v>
      </x:c>
      <x:c r="H8" s="78" t="str">
        <x:v>Хмарне резервування CRM</x:v>
      </x:c>
    </x:row>
    <x:row r="9" ht="24" customHeight="1">
      <x:c r="A9" s="78" t="str">
        <x:v>Файлове сховище документів</x:v>
      </x:c>
      <x:c r="B9" s="78" t="str">
        <x:v>Низька/середня</x:v>
      </x:c>
      <x:c r="C9" s="124" t="n">
        <x:v>360</x:v>
      </x:c>
      <x:c r="D9" s="124" t="n">
        <x:v>120</x:v>
      </x:c>
      <x:c r="E9" s="124" t="n">
        <x:f>C9+D9</x:f>
        <x:v>480</x:v>
      </x:c>
      <x:c r="F9" s="78" t="str">
        <x:f>IF(E9&lt;60,E9&amp;" хв",ROUND(E9/60,1)&amp;" год")</x:f>
        <x:v>8 год</x:v>
      </x:c>
      <x:c r="G9" s="78" t="str">
        <x:v>Документи не є критичними для миттєвого продажу, тому можуть бути відновлені пізніше.</x:v>
      </x:c>
      <x:c r="H9" s="78" t="str">
        <x:v>Стандартне резервне копіювання + архівне сховище</x:v>
      </x:c>
    </x:row>
    <x:row r="10" ht="24" customHeight="1">
      <x:c r="A10" s="78" t="str">
        <x:v>Логи безпеки та системні журнали</x:v>
      </x:c>
      <x:c r="B10" s="78" t="str">
        <x:v>Середня</x:v>
      </x:c>
      <x:c r="C10" s="124" t="n">
        <x:v>480</x:v>
      </x:c>
      <x:c r="D10" s="124" t="n">
        <x:v>240</x:v>
      </x:c>
      <x:c r="E10" s="124" t="n">
        <x:f>C10+D10</x:f>
        <x:v>720</x:v>
      </x:c>
      <x:c r="F10" s="78" t="str">
        <x:f>IF(E10&lt;60,E10&amp;" хв",ROUND(E10/60,1)&amp;" год")</x:f>
        <x:v>12 год</x:v>
      </x:c>
      <x:c r="G10" s="78" t="str">
        <x:v>Логи важливі для аналізу атаки, але не обов’язково відновлювати їх першими.</x:v>
      </x:c>
      <x:c r="H10" s="78" t="str">
        <x:v>Централізований збір логів і архів</x:v>
      </x:c>
    </x:row>
    <x:row r="11" ht="24" customHeight="1">
      <x:c r="A11" s="78"/>
      <x:c r="B11" s="78"/>
      <x:c r="C11" s="78"/>
      <x:c r="D11" s="78"/>
      <x:c r="E11" s="78"/>
      <x:c r="F11" s="78"/>
      <x:c r="G11" s="78"/>
      <x:c r="H11" s="78"/>
    </x:row>
    <x:row r="12" ht="24" customHeight="1">
      <x:c r="A12" s="78"/>
      <x:c r="B12" s="78"/>
      <x:c r="C12" s="78"/>
      <x:c r="D12" s="78"/>
      <x:c r="E12" s="78"/>
      <x:c r="F12" s="78"/>
      <x:c r="G12" s="78"/>
      <x:c r="H12" s="78"/>
    </x:row>
    <x:row r="13" ht="24" customHeight="1">
      <x:c r="A13" s="78"/>
      <x:c r="B13" s="78"/>
      <x:c r="C13" s="78"/>
      <x:c r="D13" s="78"/>
      <x:c r="E13" s="78"/>
      <x:c r="F13" s="78"/>
      <x:c r="G13" s="78"/>
      <x:c r="H13" s="78"/>
    </x:row>
    <x:row r="14" ht="24" customHeight="1">
      <x:c r="A14" s="78"/>
      <x:c r="B14" s="78"/>
      <x:c r="C14" s="78"/>
      <x:c r="D14" s="78"/>
      <x:c r="E14" s="78"/>
      <x:c r="F14" s="78"/>
      <x:c r="G14" s="78"/>
      <x:c r="H14" s="78"/>
    </x:row>
    <x:row r="15" ht="24" customHeight="1">
      <x:c r="A15" s="78"/>
      <x:c r="B15" s="78"/>
      <x:c r="C15" s="78"/>
      <x:c r="D15" s="78"/>
      <x:c r="E15" s="78"/>
      <x:c r="F15" s="78"/>
      <x:c r="G15" s="78"/>
      <x:c r="H15" s="78"/>
    </x:row>
    <x:row r="16" ht="24" customHeight="1">
      <x:c r="A16" s="78"/>
      <x:c r="B16" s="78"/>
      <x:c r="C16" s="78"/>
      <x:c r="D16" s="78"/>
      <x:c r="E16" s="78"/>
      <x:c r="F16" s="78"/>
      <x:c r="G16" s="78"/>
      <x:c r="H16" s="78"/>
    </x:row>
    <x:row r="17" ht="24" customHeight="1">
      <x:c r="A17" s="78"/>
      <x:c r="B17" s="78"/>
      <x:c r="C17" s="78"/>
      <x:c r="D17" s="78"/>
      <x:c r="E17" s="78"/>
      <x:c r="F17" s="78"/>
      <x:c r="G17" s="78"/>
      <x:c r="H17" s="78"/>
    </x:row>
    <x:row r="18" ht="24" customHeight="1">
      <x:c r="A18" s="78"/>
      <x:c r="B18" s="78"/>
      <x:c r="C18" s="78"/>
      <x:c r="D18" s="78"/>
      <x:c r="E18" s="78"/>
      <x:c r="F18" s="78"/>
      <x:c r="G18" s="78"/>
      <x:c r="H18" s="78"/>
    </x:row>
    <x:row r="19" ht="24" customHeight="1">
      <x:c r="A19" s="78"/>
      <x:c r="B19" s="78"/>
      <x:c r="C19" s="78"/>
      <x:c r="D19" s="78"/>
      <x:c r="E19" s="78"/>
      <x:c r="F19" s="78"/>
      <x:c r="G19" s="78"/>
      <x:c r="H19" s="78"/>
    </x:row>
    <x:row r="20" ht="24" customHeight="1">
      <x:c r="A20" s="78"/>
      <x:c r="B20" s="78"/>
      <x:c r="C20" s="78"/>
      <x:c r="D20" s="78"/>
      <x:c r="E20" s="78"/>
      <x:c r="F20" s="78"/>
      <x:c r="G20" s="78"/>
      <x:c r="H20" s="78"/>
    </x:row>
    <x:row r="21" ht="24" customHeight="1">
      <x:c r="A21" s="78"/>
      <x:c r="B21" s="78"/>
      <x:c r="C21" s="78"/>
      <x:c r="D21" s="78"/>
      <x:c r="E21" s="78"/>
      <x:c r="F21" s="78"/>
      <x:c r="G21" s="78"/>
      <x:c r="H21" s="78"/>
    </x:row>
    <x:row r="22" ht="24" customHeight="1">
      <x:c r="A22" s="78"/>
      <x:c r="B22" s="78"/>
      <x:c r="C22" s="78"/>
      <x:c r="D22" s="78"/>
      <x:c r="E22" s="78"/>
      <x:c r="F22" s="78"/>
      <x:c r="G22" s="78"/>
      <x:c r="H22" s="78"/>
    </x:row>
    <x:row r="23" ht="24" customHeight="1">
      <x:c r="A23" s="78"/>
      <x:c r="B23" s="78"/>
      <x:c r="C23" s="78"/>
      <x:c r="D23" s="78"/>
      <x:c r="E23" s="78"/>
      <x:c r="F23" s="78"/>
      <x:c r="G23" s="78"/>
      <x:c r="H23" s="78"/>
    </x:row>
    <x:row r="24" ht="24" customHeight="1">
      <x:c r="A24" s="78"/>
      <x:c r="B24" s="78"/>
      <x:c r="C24" s="78"/>
      <x:c r="D24" s="78"/>
      <x:c r="E24" s="78"/>
      <x:c r="F24" s="78"/>
      <x:c r="G24" s="78"/>
      <x:c r="H24" s="78"/>
    </x:row>
    <x:row r="25" ht="24" customHeight="1">
      <x:c r="A25" s="78"/>
      <x:c r="B25" s="78"/>
      <x:c r="C25" s="78"/>
      <x:c r="D25" s="78"/>
      <x:c r="E25" s="78"/>
      <x:c r="F25" s="78"/>
      <x:c r="G25" s="78"/>
      <x:c r="H25" s="78"/>
    </x:row>
    <x:row r="26" ht="24" customHeight="1">
      <x:c r="A26" s="78"/>
      <x:c r="B26" s="78"/>
      <x:c r="C26" s="78"/>
      <x:c r="D26" s="78"/>
      <x:c r="E26" s="78"/>
      <x:c r="F26" s="78"/>
      <x:c r="G26" s="78"/>
      <x:c r="H26" s="78"/>
    </x:row>
    <x:row r="27" ht="24" customHeight="1">
      <x:c r="A27" s="78"/>
      <x:c r="B27" s="78"/>
      <x:c r="C27" s="78"/>
      <x:c r="D27" s="78"/>
      <x:c r="E27" s="78"/>
      <x:c r="F27" s="78"/>
      <x:c r="G27" s="78"/>
      <x:c r="H27" s="78"/>
    </x:row>
    <x:row r="28" ht="24" customHeight="1">
      <x:c r="A28" s="78"/>
      <x:c r="B28" s="78"/>
      <x:c r="C28" s="78"/>
      <x:c r="D28" s="78"/>
      <x:c r="E28" s="78"/>
      <x:c r="F28" s="78"/>
      <x:c r="G28" s="78"/>
      <x:c r="H28" s="78"/>
    </x:row>
    <x:row r="29" ht="24" customHeight="1">
      <x:c r="A29" s="78"/>
      <x:c r="B29" s="78"/>
      <x:c r="C29" s="78"/>
      <x:c r="D29" s="78"/>
      <x:c r="E29" s="78"/>
      <x:c r="F29" s="78"/>
      <x:c r="G29" s="78"/>
      <x:c r="H29" s="78"/>
    </x:row>
    <x:row r="30" ht="24" customHeight="1">
      <x:c r="A30" s="78"/>
      <x:c r="B30" s="78"/>
      <x:c r="C30" s="78"/>
      <x:c r="D30" s="78"/>
      <x:c r="E30" s="78"/>
      <x:c r="F30" s="78"/>
      <x:c r="G30" s="78"/>
      <x:c r="H30" s="78"/>
    </x:row>
    <x:row r="31" ht="24" customHeight="1">
      <x:c r="A31" s="78"/>
      <x:c r="B31" s="78"/>
      <x:c r="C31" s="78"/>
      <x:c r="D31" s="78"/>
      <x:c r="E31" s="78"/>
      <x:c r="F31" s="78"/>
      <x:c r="G31" s="78"/>
      <x:c r="H31" s="78"/>
    </x:row>
    <x:row r="32" ht="24" customHeight="1">
      <x:c r="A32" s="78"/>
      <x:c r="B32" s="78"/>
      <x:c r="C32" s="78"/>
      <x:c r="D32" s="78"/>
      <x:c r="E32" s="78"/>
      <x:c r="F32" s="78"/>
      <x:c r="G32" s="78"/>
      <x:c r="H32" s="78"/>
    </x:row>
    <x:row r="33" ht="24" customHeight="1">
      <x:c r="A33" s="78"/>
      <x:c r="B33" s="78"/>
      <x:c r="C33" s="78"/>
      <x:c r="D33" s="78"/>
      <x:c r="E33" s="78"/>
      <x:c r="F33" s="78"/>
      <x:c r="G33" s="78"/>
      <x:c r="H33" s="78"/>
    </x:row>
    <x:row r="34" ht="24" customHeight="1">
      <x:c r="A34" s="78"/>
      <x:c r="B34" s="78"/>
      <x:c r="C34" s="78"/>
      <x:c r="D34" s="78"/>
      <x:c r="E34" s="78"/>
      <x:c r="F34" s="78"/>
      <x:c r="G34" s="78"/>
      <x:c r="H34" s="78"/>
    </x:row>
    <x:row r="35" ht="24" customHeight="1">
      <x:c r="A35" s="78"/>
      <x:c r="B35" s="78"/>
      <x:c r="C35" s="78"/>
      <x:c r="D35" s="78"/>
      <x:c r="E35" s="78"/>
      <x:c r="F35" s="78"/>
      <x:c r="G35" s="78"/>
      <x:c r="H35" s="78"/>
    </x:row>
    <x:row r="36" ht="24" customHeight="1">
      <x:c r="A36" s="78"/>
      <x:c r="B36" s="78"/>
      <x:c r="C36" s="78"/>
      <x:c r="D36" s="78"/>
      <x:c r="E36" s="78"/>
      <x:c r="F36" s="78"/>
      <x:c r="G36" s="78"/>
      <x:c r="H36" s="78"/>
    </x:row>
    <x:row r="37" ht="24" customHeight="1">
      <x:c r="A37" s="78"/>
      <x:c r="B37" s="78"/>
      <x:c r="C37" s="78"/>
      <x:c r="D37" s="78"/>
      <x:c r="E37" s="78"/>
      <x:c r="F37" s="78"/>
      <x:c r="G37" s="78"/>
      <x:c r="H37" s="78"/>
    </x:row>
    <x:row r="38" ht="24" customHeight="1">
      <x:c r="A38" s="78"/>
      <x:c r="B38" s="78"/>
      <x:c r="C38" s="78"/>
      <x:c r="D38" s="78"/>
      <x:c r="E38" s="78"/>
      <x:c r="F38" s="78"/>
      <x:c r="G38" s="78"/>
      <x:c r="H38" s="78"/>
    </x:row>
    <x:row r="39" ht="24" customHeight="1">
      <x:c r="A39" s="78"/>
      <x:c r="B39" s="78"/>
      <x:c r="C39" s="78"/>
      <x:c r="D39" s="78"/>
      <x:c r="E39" s="78"/>
      <x:c r="F39" s="78"/>
      <x:c r="G39" s="78"/>
      <x:c r="H39" s="78"/>
    </x:row>
    <x:row r="40" ht="24" customHeight="1">
      <x:c r="A40" s="78"/>
      <x:c r="B40" s="78"/>
      <x:c r="C40" s="78"/>
      <x:c r="D40" s="78"/>
      <x:c r="E40" s="78"/>
      <x:c r="F40" s="78"/>
      <x:c r="G40" s="78"/>
      <x:c r="H40" s="78"/>
    </x:row>
  </x:sheetData>
  <x:mergeCells>
    <x:mergeCell ref="A1:H1"/>
  </x:mergeCells>
  <x:conditionalFormatting sqref="B4:B10">
    <x:cfRule type="expression" dxfId="3" priority="1">
      <x:formula>B4="Висока"</x:formula>
    </x:cfRule>
    <x:cfRule type="expression" dxfId="4" priority="2">
      <x:formula>B4="Середня"</x:formula>
    </x:cfRule>
    <x:cfRule type="expression" dxfId="5" priority="3">
      <x:formula>B4="Низька/середня"</x:formula>
    </x:cfRule>
  </x:conditionalFormatting>
  <x:conditionalFormatting sqref="E4:E10">
    <x:cfRule type="colorScale" priority="4">
      <x:colorScale>
        <x:cfvo type="min"/>
        <x:cfvo type="percentile" val="50"/>
        <x:cfvo type="max"/>
        <x:color rgb="DCFCE7"/>
        <x:color rgb="FEF3C7"/>
        <x:color rgb="FEE2E2"/>
      </x:colorScale>
    </x:cfRule>
  </x:conditionalFormatting>
  <x:dataValidations count="1">
    <x:dataValidation type="list" sqref="B4:B10">
      <x:formula1>"Висока,Середня,Низька/середня"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1bf412bd18403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28" hidden="0" customWidth="1"/>
    <x:col min="3" max="3" width="28" hidden="0" customWidth="1"/>
    <x:col min="4" max="4" width="26" hidden="0" customWidth="1"/>
    <x:col min="5" max="5" width="42" hidden="0" customWidth="1"/>
    <x:col min="6" max="6" width="14" hidden="0" customWidth="1"/>
  </x:cols>
  <x:sheetData>
    <x:row r="1" ht="30" customHeight="1">
      <x:c r="A1" s="105" t="str">
        <x:v>3. Заходи для забезпечення RPO та RTO</x:v>
      </x:c>
      <x:c r="B1" s="105"/>
      <x:c r="C1" s="105"/>
      <x:c r="D1" s="105"/>
      <x:c r="E1" s="105"/>
      <x:c r="F1" s="105"/>
    </x:row>
    <x:row r="2" ht="24" customHeight="1">
      <x:c r="A2" s="78"/>
      <x:c r="B2" s="78"/>
      <x:c r="C2" s="78"/>
      <x:c r="D2" s="78"/>
      <x:c r="E2" s="78"/>
      <x:c r="F2" s="78"/>
    </x:row>
    <x:row r="3" ht="24" customHeight="1">
      <x:c r="A3" s="117" t="str">
        <x:v>Захід відновлення</x:v>
      </x:c>
      <x:c r="B3" s="117" t="str">
        <x:v>Що захищає?</x:v>
      </x:c>
      <x:c r="C3" s="117" t="str">
        <x:v>Для яких систем?</x:v>
      </x:c>
      <x:c r="D3" s="117" t="str">
        <x:v>Як забезпечує RPO/RTO?</x:v>
      </x:c>
      <x:c r="E3" s="117" t="str">
        <x:v>Чому це важливо?</x:v>
      </x:c>
      <x:c r="F3" s="117" t="str">
        <x:v>Пріоритет</x:v>
      </x:c>
    </x:row>
    <x:row r="4" ht="24" customHeight="1">
      <x:c r="A4" s="78" t="str">
        <x:v>Реплікація бази даних у реальному часі</x:v>
      </x:c>
      <x:c r="B4" s="78" t="str">
        <x:v>Замовлення, платежі, клієнтські дані</x:v>
      </x:c>
      <x:c r="C4" s="78" t="str">
        <x:v>База замовлень, платіжна інтеграція, CRM</x:v>
      </x:c>
      <x:c r="D4" s="78" t="str">
        <x:v>RPO 0–5 хвилин</x:v>
      </x:c>
      <x:c r="E4" s="78" t="str">
        <x:v>Мінімізує втрату критичних бізнес-даних</x:v>
      </x:c>
      <x:c r="F4" s="78" t="str">
        <x:v>Висока</x:v>
      </x:c>
    </x:row>
    <x:row r="5" ht="24" customHeight="1">
      <x:c r="A5" s="78" t="str">
        <x:v>Автоматичне перемикання на резервний сервер</x:v>
      </x:c>
      <x:c r="B5" s="78" t="str">
        <x:v>Доступність сайту та бази даних</x:v>
      </x:c>
      <x:c r="C5" s="78" t="str">
        <x:v>Сайт, база замовлень</x:v>
      </x:c>
      <x:c r="D5" s="78" t="str">
        <x:v>RTO 30–60 хвилин</x:v>
      </x:c>
      <x:c r="E5" s="78" t="str">
        <x:v>Зменшує час простою після атаки</x:v>
      </x:c>
      <x:c r="F5" s="78" t="str">
        <x:v>Висока</x:v>
      </x:c>
    </x:row>
    <x:row r="6" ht="24" customHeight="1">
      <x:c r="A6" s="78" t="str">
        <x:v>Інкрементальні резервні копії</x:v>
      </x:c>
      <x:c r="B6" s="78" t="str">
        <x:v>Зміни в базах даних і файлах</x:v>
      </x:c>
      <x:c r="C6" s="78" t="str">
        <x:v>CRM, складський облік, файлове сховище</x:v>
      </x:c>
      <x:c r="D6" s="78" t="str">
        <x:v>RPO 30–720 хвилин</x:v>
      </x:c>
      <x:c r="E6" s="78" t="str">
        <x:v>Зберігає часті зміни без великого навантаження</x:v>
      </x:c>
      <x:c r="F6" s="78" t="str">
        <x:v>Середня</x:v>
      </x:c>
    </x:row>
    <x:row r="7" ht="24" customHeight="1">
      <x:c r="A7" s="78" t="str">
        <x:v>Immutable backups — незмінювані резервні копії</x:v>
      </x:c>
      <x:c r="B7" s="78" t="str">
        <x:v>Захист резервних копій від шифрування</x:v>
      </x:c>
      <x:c r="C7" s="78" t="str">
        <x:v>Усі критичні системи</x:v>
      </x:c>
      <x:c r="D7" s="78" t="str">
        <x:v>Підтримує RPO/RTO після ransomware</x:v>
      </x:c>
      <x:c r="E7" s="78" t="str">
        <x:v>Зловмисники не зможуть змінити або видалити копії</x:v>
      </x:c>
      <x:c r="F7" s="78" t="str">
        <x:v>Висока</x:v>
      </x:c>
    </x:row>
    <x:row r="8" ht="24" customHeight="1">
      <x:c r="A8" s="78" t="str">
        <x:v>Окреме хмарне резервне середовище</x:v>
      </x:c>
      <x:c r="B8" s="78" t="str">
        <x:v>Роботу бізнесу після повного збою основної інфраструктури</x:v>
      </x:c>
      <x:c r="C8" s="78" t="str">
        <x:v>Сайт, база замовлень, CRM</x:v>
      </x:c>
      <x:c r="D8" s="78" t="str">
        <x:v>Прискорює RTO</x:v>
      </x:c>
      <x:c r="E8" s="78" t="str">
        <x:v>Потрібне, якщо основний сервер повністю недоступний</x:v>
      </x:c>
      <x:c r="F8" s="78" t="str">
        <x:v>Висока</x:v>
      </x:c>
    </x:row>
    <x:row r="9" ht="24" customHeight="1">
      <x:c r="A9" s="78" t="str">
        <x:v>Централізований збір логів</x:v>
      </x:c>
      <x:c r="B9" s="78" t="str">
        <x:v>Дані для розслідування інциденту</x:v>
      </x:c>
      <x:c r="C9" s="78" t="str">
        <x:v>Логи безпеки, системні журнали</x:v>
      </x:c>
      <x:c r="D9" s="78" t="str">
        <x:v>Зменшує ризик втрати доказів</x:v>
      </x:c>
      <x:c r="E9" s="78" t="str">
        <x:v>Допомагає зрозуміти джерело та масштаб атаки</x:v>
      </x:c>
      <x:c r="F9" s="78" t="str">
        <x:v>Середня</x:v>
      </x:c>
    </x:row>
    <x:row r="10" ht="24" customHeight="1">
      <x:c r="A10" s="78" t="str">
        <x:v>Регулярне тестування відновлення</x:v>
      </x:c>
      <x:c r="B10" s="78" t="str">
        <x:v>Перевірку працездатності резервних копій</x:v>
      </x:c>
      <x:c r="C10" s="78" t="str">
        <x:v>Усі системи</x:v>
      </x:c>
      <x:c r="D10" s="78" t="str">
        <x:v>Підтверджує реальність RPO/RTO</x:v>
      </x:c>
      <x:c r="E10" s="78" t="str">
        <x:v>Без тестування резервні копії можуть бути непридатними</x:v>
      </x:c>
      <x:c r="F10" s="78" t="str">
        <x:v>Висока</x:v>
      </x:c>
    </x:row>
    <x:row r="11" ht="24" customHeight="1">
      <x:c r="A11" s="78"/>
      <x:c r="B11" s="78"/>
      <x:c r="C11" s="78"/>
      <x:c r="D11" s="78"/>
      <x:c r="E11" s="78"/>
      <x:c r="F11" s="78"/>
    </x:row>
    <x:row r="12" ht="24" customHeight="1">
      <x:c r="A12" s="78"/>
      <x:c r="B12" s="78"/>
      <x:c r="C12" s="78"/>
      <x:c r="D12" s="78"/>
      <x:c r="E12" s="78"/>
      <x:c r="F12" s="78"/>
    </x:row>
    <x:row r="13" ht="24" customHeight="1">
      <x:c r="A13" s="78"/>
      <x:c r="B13" s="78"/>
      <x:c r="C13" s="78"/>
      <x:c r="D13" s="78"/>
      <x:c r="E13" s="78"/>
      <x:c r="F13" s="78"/>
    </x:row>
    <x:row r="14" ht="24" customHeight="1">
      <x:c r="A14" s="78"/>
      <x:c r="B14" s="78"/>
      <x:c r="C14" s="78"/>
      <x:c r="D14" s="78"/>
      <x:c r="E14" s="78"/>
      <x:c r="F14" s="78"/>
    </x:row>
    <x:row r="15" ht="24" customHeight="1">
      <x:c r="A15" s="78"/>
      <x:c r="B15" s="78"/>
      <x:c r="C15" s="78"/>
      <x:c r="D15" s="78"/>
      <x:c r="E15" s="78"/>
      <x:c r="F15" s="78"/>
    </x:row>
    <x:row r="16" ht="24" customHeight="1">
      <x:c r="A16" s="78"/>
      <x:c r="B16" s="78"/>
      <x:c r="C16" s="78"/>
      <x:c r="D16" s="78"/>
      <x:c r="E16" s="78"/>
      <x:c r="F16" s="78"/>
    </x:row>
    <x:row r="17" ht="24" customHeight="1">
      <x:c r="A17" s="78"/>
      <x:c r="B17" s="78"/>
      <x:c r="C17" s="78"/>
      <x:c r="D17" s="78"/>
      <x:c r="E17" s="78"/>
      <x:c r="F17" s="78"/>
    </x:row>
    <x:row r="18" ht="24" customHeight="1">
      <x:c r="A18" s="78"/>
      <x:c r="B18" s="78"/>
      <x:c r="C18" s="78"/>
      <x:c r="D18" s="78"/>
      <x:c r="E18" s="78"/>
      <x:c r="F18" s="78"/>
    </x:row>
    <x:row r="19" ht="24" customHeight="1">
      <x:c r="A19" s="78"/>
      <x:c r="B19" s="78"/>
      <x:c r="C19" s="78"/>
      <x:c r="D19" s="78"/>
      <x:c r="E19" s="78"/>
      <x:c r="F19" s="78"/>
    </x:row>
    <x:row r="20" ht="24" customHeight="1">
      <x:c r="A20" s="78"/>
      <x:c r="B20" s="78"/>
      <x:c r="C20" s="78"/>
      <x:c r="D20" s="78"/>
      <x:c r="E20" s="78"/>
      <x:c r="F20" s="78"/>
    </x:row>
  </x:sheetData>
  <x:mergeCells>
    <x:mergeCell ref="A1:F1"/>
  </x:mergeCells>
  <x:conditionalFormatting sqref="F4:F10">
    <x:cfRule type="expression" dxfId="9" priority="1">
      <x:formula>F4="Висока"</x:formula>
    </x:cfRule>
    <x:cfRule type="expression" dxfId="10" priority="2">
      <x:formula>F4="Середня"</x:formula>
    </x:cfRule>
    <x:cfRule type="expression" dxfId="11" priority="3">
      <x:formula>F4="Низька"</x:formula>
    </x:cfRule>
  </x:conditionalFormatting>
  <x:dataValidations count="1">
    <x:dataValidation type="list" sqref="F4:F10">
      <x:formula1>"Висока,Середня,Низька"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7ee5d0853e49e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36" hidden="0" customWidth="1"/>
    <x:col min="4" max="4" width="36" hidden="0" customWidth="1"/>
    <x:col min="5" max="5" width="22" hidden="0" customWidth="1"/>
    <x:col min="6" max="6" width="16" hidden="0" customWidth="1"/>
    <x:col min="7" max="7" width="16" hidden="0" customWidth="1"/>
  </x:cols>
  <x:sheetData>
    <x:row r="1" ht="30" customHeight="1">
      <x:c r="A1" s="105" t="str">
        <x:v>Формули та розрахунки для Google Sheets</x:v>
      </x:c>
      <x:c r="B1" s="105"/>
      <x:c r="C1" s="105"/>
      <x:c r="D1" s="105"/>
      <x:c r="E1" s="105"/>
      <x:c r="F1" s="105"/>
      <x:c r="G1" s="105"/>
    </x:row>
    <x:row r="2" ht="24" customHeight="1">
      <x:c r="A2" s="78"/>
      <x:c r="B2" s="78"/>
      <x:c r="C2" s="78"/>
      <x:c r="D2" s="78"/>
      <x:c r="E2" s="78"/>
      <x:c r="F2" s="78"/>
      <x:c r="G2" s="78"/>
    </x:row>
    <x:row r="3" ht="24" customHeight="1">
      <x:c r="A3" s="100" t="str">
        <x:v>Змінюйте вхідні значення у стовпцях C:D на аркушах RPO та RTO — результати перерахуються автоматично.</x:v>
      </x:c>
      <x:c r="B3" s="100"/>
      <x:c r="C3" s="100"/>
      <x:c r="D3" s="100"/>
      <x:c r="E3" s="100"/>
      <x:c r="F3" s="100"/>
      <x:c r="G3" s="100"/>
    </x:row>
    <x:row r="4" ht="24" customHeight="1">
      <x:c r="A4" s="78"/>
      <x:c r="B4" s="78"/>
      <x:c r="C4" s="78"/>
      <x:c r="D4" s="78"/>
      <x:c r="E4" s="78"/>
      <x:c r="F4" s="78"/>
      <x:c r="G4" s="78"/>
    </x:row>
    <x:row r="5" ht="24" customHeight="1">
      <x:c r="A5" s="117" t="str">
        <x:v>Показник</x:v>
      </x:c>
      <x:c r="B5" s="117" t="str">
        <x:v>Формула</x:v>
      </x:c>
      <x:c r="C5" s="117" t="str">
        <x:v>Де використовується</x:v>
      </x:c>
      <x:c r="D5" s="117" t="str">
        <x:v>Пояснення</x:v>
      </x:c>
      <x:c r="E5" s="117" t="str">
        <x:v>Приклад системи</x:v>
      </x:c>
      <x:c r="F5" s="117" t="str">
        <x:v>Результат, хв</x:v>
      </x:c>
      <x:c r="G5" s="117" t="str">
        <x:v>Результат, формат</x:v>
      </x:c>
    </x:row>
    <x:row r="6" ht="24" customHeight="1">
      <x:c r="A6" s="78" t="str">
        <x:v>RPO</x:v>
      </x:c>
      <x:c r="B6" s="78" t="str">
        <x:v>=Інтервал backup + Затримка реплікації</x:v>
      </x:c>
      <x:c r="C6" s="78" t="str">
        <x:v>RPO!E4:E10</x:v>
      </x:c>
      <x:c r="D6" s="78" t="str">
        <x:v>Скільки даних можна втратити після інциденту.</x:v>
      </x:c>
      <x:c r="E6" s="78" t="str">
        <x:v>База замовлень</x:v>
      </x:c>
      <x:c r="F6" s="124" t="n">
        <x:f>RPO!E5</x:f>
        <x:v>5</x:v>
      </x:c>
      <x:c r="G6" s="78" t="str">
        <x:f>RPO!F5</x:f>
        <x:v>5 хв</x:v>
      </x:c>
    </x:row>
    <x:row r="7" ht="24" customHeight="1">
      <x:c r="A7" s="78" t="str">
        <x:v>RTO</x:v>
      </x:c>
      <x:c r="B7" s="78" t="str">
        <x:v>=Час запуску резерву + Час перевірки</x:v>
      </x:c>
      <x:c r="C7" s="78" t="str">
        <x:v>RTO!E4:E10</x:v>
      </x:c>
      <x:c r="D7" s="78" t="str">
        <x:v>За який максимальний час система має бути відновлена.</x:v>
      </x:c>
      <x:c r="E7" s="78" t="str">
        <x:v>База замовлень</x:v>
      </x:c>
      <x:c r="F7" s="124" t="n">
        <x:f>RTO!E5</x:f>
        <x:v>60</x:v>
      </x:c>
      <x:c r="G7" s="78" t="str">
        <x:f>RTO!F5</x:f>
        <x:v>1 год</x:v>
      </x:c>
    </x:row>
    <x:row r="8" ht="24" customHeight="1">
      <x:c r="A8" s="78" t="str">
        <x:v>Пріоритет</x:v>
      </x:c>
      <x:c r="B8" s="78" t="str">
        <x:v>=IF(критичність або RTO&lt;=60 хв, пріоритет 1, ...)</x:v>
      </x:c>
      <x:c r="C8" s="78" t="str">
        <x:v>Панель!G11:G17</x:v>
      </x:c>
      <x:c r="D8" s="78" t="str">
        <x:v>Визначає порядок відновлення систем.</x:v>
      </x:c>
      <x:c r="E8" s="78" t="str">
        <x:v>Сайт</x:v>
      </x:c>
      <x:c r="F8" s="124" t="n">
        <x:f>RTO!E4</x:f>
        <x:v>30</x:v>
      </x:c>
      <x:c r="G8" s="78" t="str">
        <x:f>RTO!F4</x:f>
        <x:v>30 хв</x:v>
      </x:c>
    </x:row>
    <x:row r="9" ht="24" customHeight="1">
      <x:c r="A9" s="78"/>
      <x:c r="B9" s="78"/>
      <x:c r="C9" s="78"/>
      <x:c r="D9" s="78"/>
      <x:c r="E9" s="78"/>
      <x:c r="F9" s="78"/>
      <x:c r="G9" s="78"/>
    </x:row>
    <x:row r="10" ht="24" customHeight="1">
      <x:c r="A10" s="78"/>
      <x:c r="B10" s="78"/>
      <x:c r="C10" s="78"/>
      <x:c r="D10" s="78"/>
      <x:c r="E10" s="78"/>
      <x:c r="F10" s="78"/>
      <x:c r="G10" s="78"/>
    </x:row>
    <x:row r="11" ht="24" customHeight="1">
      <x:c r="A11" s="78"/>
      <x:c r="B11" s="78"/>
      <x:c r="C11" s="78"/>
      <x:c r="D11" s="78"/>
      <x:c r="E11" s="78"/>
      <x:c r="F11" s="78"/>
      <x:c r="G11" s="78"/>
    </x:row>
    <x:row r="12" ht="24" customHeight="1">
      <x:c r="A12" s="78"/>
      <x:c r="B12" s="78"/>
      <x:c r="C12" s="78"/>
      <x:c r="D12" s="78"/>
      <x:c r="E12" s="78"/>
      <x:c r="F12" s="78"/>
      <x:c r="G12" s="78"/>
    </x:row>
    <x:row r="13" ht="24" customHeight="1">
      <x:c r="A13" s="78"/>
      <x:c r="B13" s="78"/>
      <x:c r="C13" s="78"/>
      <x:c r="D13" s="78"/>
      <x:c r="E13" s="78"/>
      <x:c r="F13" s="78"/>
      <x:c r="G13" s="78"/>
    </x:row>
    <x:row r="14" ht="24" customHeight="1">
      <x:c r="A14" s="78"/>
      <x:c r="B14" s="78"/>
      <x:c r="C14" s="78"/>
      <x:c r="D14" s="78"/>
      <x:c r="E14" s="78"/>
      <x:c r="F14" s="78"/>
      <x:c r="G14" s="78"/>
    </x:row>
    <x:row r="15" ht="24" customHeight="1">
      <x:c r="A15" s="78"/>
      <x:c r="B15" s="78"/>
      <x:c r="C15" s="78"/>
      <x:c r="D15" s="78"/>
      <x:c r="E15" s="78"/>
      <x:c r="F15" s="78"/>
      <x:c r="G15" s="78"/>
    </x:row>
    <x:row r="16" ht="24" customHeight="1">
      <x:c r="A16" s="78"/>
      <x:c r="B16" s="78"/>
      <x:c r="C16" s="78"/>
      <x:c r="D16" s="78"/>
      <x:c r="E16" s="78"/>
      <x:c r="F16" s="78"/>
      <x:c r="G16" s="78"/>
    </x:row>
    <x:row r="17" ht="24" customHeight="1">
      <x:c r="A17" s="78"/>
      <x:c r="B17" s="78"/>
      <x:c r="C17" s="78"/>
      <x:c r="D17" s="78"/>
      <x:c r="E17" s="78"/>
      <x:c r="F17" s="78"/>
      <x:c r="G17" s="78"/>
    </x:row>
    <x:row r="18" ht="24" customHeight="1">
      <x:c r="A18" s="78"/>
      <x:c r="B18" s="78"/>
      <x:c r="C18" s="78"/>
      <x:c r="D18" s="78"/>
      <x:c r="E18" s="78"/>
      <x:c r="F18" s="78"/>
      <x:c r="G18" s="78"/>
    </x:row>
    <x:row r="19" ht="24" customHeight="1">
      <x:c r="A19" s="78"/>
      <x:c r="B19" s="78"/>
      <x:c r="C19" s="78"/>
      <x:c r="D19" s="78"/>
      <x:c r="E19" s="78"/>
      <x:c r="F19" s="78"/>
      <x:c r="G19" s="78"/>
    </x:row>
    <x:row r="20" ht="24" customHeight="1">
      <x:c r="A20" s="78"/>
      <x:c r="B20" s="78"/>
      <x:c r="C20" s="78"/>
      <x:c r="D20" s="78"/>
      <x:c r="E20" s="78"/>
      <x:c r="F20" s="78"/>
      <x:c r="G20" s="78"/>
    </x:row>
  </x:sheetData>
  <x:mergeCells>
    <x:mergeCell ref="A1:G1"/>
    <x:mergeCell ref="A3:G3"/>
  </x:mergeCells>
  <x:pageMargins left="0.7" right="0.7" top="0.75" bottom="0.75" header="0.3" footer="0.3"/>
</x:worksheet>
</file>
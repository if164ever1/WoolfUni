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lcul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<sst xmlns="http://schemas.openxmlformats.org/spreadsheetml/2006/main" count="75" uniqueCount="70">
  <si>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FAIR Risk Analysis — Кейс 1: Банк (витік конфіденційних даних)</t>
  </si>
  <si>
    <t xml:space="preserve">Аркуш Inputs — Вхідні параметри для аналізу ризиків</t>
  </si>
  <si>
    <t xml:space="preserve">Параметр</t>
  </si>
  <si>
    <t xml:space="preserve">Min</t>
  </si>
  <si>
    <t xml:space="preserve">Mode</t>
  </si>
  <si>
    <t xml:space="preserve">Max</t>
  </si>
  <si>
    <t xml:space="preserve">PERT Estimate</t>
  </si>
  <si>
    <t xml:space="preserve">Опис</t>
  </si>
  <si>
    <t xml:space="preserve">▌ Параметри загрози (Threat Parameters)</t>
  </si>
  <si>
    <t xml:space="preserve">Threat Capability (Tcap)</t>
  </si>
  <si>
    <t xml:space="preserve">Рівень технічних можливостей атакувальника (0–1)</t>
  </si>
  <si>
    <t xml:space="preserve">Difficulty (Diff)</t>
  </si>
  <si>
    <t xml:space="preserve">Складність успішного виконання атаки (0–1)</t>
  </si>
  <si>
    <t xml:space="preserve">▌ Параметри частоти (Frequency Parameters)</t>
  </si>
  <si>
    <t xml:space="preserve">Threat Event Frequency (TEF)</t>
  </si>
  <si>
    <t xml:space="preserve">Очікувана кількість спроб атак на рік</t>
  </si>
  <si>
    <t xml:space="preserve">▌ Параметри втрат (Loss Parameters)</t>
  </si>
  <si>
    <t xml:space="preserve">Primary Loss Magnitude (PLM)</t>
  </si>
  <si>
    <t xml:space="preserve">Середні фінансові втрати від одного інциденту (грн)</t>
  </si>
  <si>
    <t xml:space="preserve">Secondary Loss Event Frequency (SLEF)</t>
  </si>
  <si>
    <t xml:space="preserve">Ймовірність настання вторинних втрат (штрафи, суди) (0–1)</t>
  </si>
  <si>
    <t xml:space="preserve">Secondary Loss Magnitude (SLM)</t>
  </si>
  <si>
    <t xml:space="preserve">Вторинні фінансові втрати — штрафи, репутаційні збитки (грн)</t>
  </si>
  <si>
    <t xml:space="preserve">📌 PERT Estimate = (Min + 4×Mode + Max) / 6   |   Синій колір = вхідні дані; Чорний = розраховані значення</t>
  </si>
  <si>
    <t xml:space="preserve">FAIR Risk Analysis — Calculations (Розрахунки)</t>
  </si>
  <si>
    <t xml:space="preserve">Аркуш Calculations — Автоматизовані розрахунки FAIR. Всі значення посилаються на аркуш Inputs.</t>
  </si>
  <si>
    <t xml:space="preserve">Показник</t>
  </si>
  <si>
    <t xml:space="preserve">Формула (FAIR)</t>
  </si>
  <si>
    <t xml:space="preserve">Значення</t>
  </si>
  <si>
    <t xml:space="preserve">Опис / Інтерпретація</t>
  </si>
  <si>
    <t xml:space="preserve">▌ Крок 1: Вхідні дані (PERT Estimates з аркушу Inputs)</t>
  </si>
  <si>
    <t xml:space="preserve">Tcap (PERT)</t>
  </si>
  <si>
    <t xml:space="preserve">PERT = (Min + 4×Mode + Max) / 6</t>
  </si>
  <si>
    <t xml:space="preserve">Рівень можливостей атакувальника (PERT)</t>
  </si>
  <si>
    <t xml:space="preserve">Diff (PERT)</t>
  </si>
  <si>
    <t xml:space="preserve">Складність атаки (PERT)</t>
  </si>
  <si>
    <t xml:space="preserve">TEF (PERT)</t>
  </si>
  <si>
    <t xml:space="preserve">Частота подій загрози на рік (PERT)</t>
  </si>
  <si>
    <t xml:space="preserve">PLM (PERT)</t>
  </si>
  <si>
    <t xml:space="preserve">Первинна величина втрат (PERT), грн</t>
  </si>
  <si>
    <t xml:space="preserve">SLEF (PERT)</t>
  </si>
  <si>
    <t xml:space="preserve">Частота вторинних втрат (PERT)</t>
  </si>
  <si>
    <t xml:space="preserve">SLM (PERT)</t>
  </si>
  <si>
    <t xml:space="preserve">Вторинна величина втрат (PERT), грн</t>
  </si>
  <si>
    <t xml:space="preserve">▌ Крок 2: Основні розрахунки FAIR</t>
  </si>
  <si>
    <t xml:space="preserve">Vulnerability (Vuln)</t>
  </si>
  <si>
    <t xml:space="preserve">Vuln = Tcap / (Tcap + Diff)</t>
  </si>
  <si>
    <t xml:space="preserve">Ймовірність успішної атаки. Чим вищий Tcap відносно Diff — тим вища вразливість.</t>
  </si>
  <si>
    <t xml:space="preserve">Loss Event Frequency (LEF)</t>
  </si>
  <si>
    <t xml:space="preserve">LEF = TEF × Vuln</t>
  </si>
  <si>
    <t xml:space="preserve">Очікувана кількість успішних атак (із фінансовими втратами) на рік.</t>
  </si>
  <si>
    <t xml:space="preserve">Secondary Risk (SR)</t>
  </si>
  <si>
    <t xml:space="preserve">SR = LEF × SLEF</t>
  </si>
  <si>
    <t xml:space="preserve">Кількість подій на рік, що спричиняють вторинні втрати (штрафи, репутація, суди).</t>
  </si>
  <si>
    <t xml:space="preserve">▌ Крок 3: Розрахунок втрат</t>
  </si>
  <si>
    <t xml:space="preserve">N_primary — кількість первинних інцидентів</t>
  </si>
  <si>
    <t xml:space="preserve">N_primary = LEF</t>
  </si>
  <si>
    <t xml:space="preserve">Кількість первинних інцидентів на рік = LEF (кожна успішна атака є первинним інцидентом).</t>
  </si>
  <si>
    <t xml:space="preserve">N_secondary — кількість вторинних інцидентів</t>
  </si>
  <si>
    <t xml:space="preserve">N_secondary = LEF × SLEF</t>
  </si>
  <si>
    <t xml:space="preserve">Кількість інцидентів на рік, що тягнуть за собою вторинні втрати.</t>
  </si>
  <si>
    <t xml:space="preserve">Loss Distribution (LossDist) — загальні втрати</t>
  </si>
  <si>
    <t xml:space="preserve">LossDist = (N_primary × PLM) + (N_secondary × SLM)</t>
  </si>
  <si>
    <t xml:space="preserve">Сума первинних та вторинних фінансових втрат за рік (грн).</t>
  </si>
  <si>
    <t xml:space="preserve">▌ Крок 4: Annualized Loss Expectancy (ALE) — Ключовий показник</t>
  </si>
  <si>
    <t xml:space="preserve">🎯  ALE — Річні Очікувані Збитки</t>
  </si>
  <si>
    <t xml:space="preserve">ALE = LossDist</t>
  </si>
  <si>
    <t xml:space="preserve">Очікувані загальні фінансові втрати за рік. Ключовий показник для прийняття рішень щодо інвестицій у безпеку.</t>
  </si>
  <si>
    <t xml:space="preserve">▌ Крок 5: Висновки та рекомендації</t>
  </si>
  <si>
    <t xml:space="preserve">ВИСНОВКИ АНАЛІЗУ РИЗИКУ
1. Вразливість (Vuln) банку є відносно HIGH, оскільки можливості атакувальника (Tcap ≈ 0.75) суттєво перевищують складність атаки (Diff ≈ 0.42). Це означає, що більше половини спроб атакувальника є успішними.
2. Частота втратних подій (LEF) становить ~30+ подій на рік — кожна з яких несе прямі фінансові втрати.
3. ALE є критично HIGH. При бюджетуванні безпеки: інвестиції у засоби захисту виправдані, якщо їхня вартість менша за ALE.
РЕКОМЕНДАЦІЇ:
• Впровадити обов'язкову MFA для всіх співробітників (знижує Tcap)
• Провести навчання з протидії фішингу (знижує TEF)
• Оновити IDS/IPS та налаштувати SIEM-систему (підвищує Diff)
• Зашифрувати бази даних та налаштувати DLP (знижує PLM)
• Розробити план реагування на інциденти (знижує SLM)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</si>
</sst>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#,##0.00"/>
    <numFmt numFmtId="168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8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DA6"/>
        <bgColor rgb="FF3B6FB5"/>
      </patternFill>
    </fill>
    <fill>
      <patternFill patternType="solid">
        <fgColor rgb="FF3B6FB5"/>
        <bgColor rgb="FF2E5DA6"/>
      </patternFill>
    </fill>
    <fill>
      <patternFill patternType="solid">
        <fgColor rgb="FFEBF3FB"/>
        <bgColor rgb="FFEEF4FF"/>
      </patternFill>
    </fill>
    <fill>
      <patternFill patternType="solid">
        <fgColor rgb="FFFFF2CC"/>
        <bgColor rgb="FFFCE4D6"/>
      </patternFill>
    </fill>
    <fill>
      <patternFill patternType="solid">
        <fgColor rgb="FFEAF4E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EEF4FF"/>
        <bgColor rgb="FFEB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/>
      <top style="thin">
        <color rgb="FF8EAADB"/>
      </top>
      <bottom style="thin">
        <color rgb="FF8EAADB"/>
      </bottom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 diagonalUp="false" diagonalDown="false">
      <left style="thin">
        <color rgb="FF8EAADB"/>
      </left>
      <right/>
      <top style="thin">
        <color rgb="FF8EAA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B"/>
      <rgbColor rgb="FF808000"/>
      <rgbColor rgb="FF800080"/>
      <rgbColor rgb="FF008080"/>
      <rgbColor rgb="FFC0C0C0"/>
      <rgbColor rgb="FF808080"/>
      <rgbColor rgb="FF8EAADB"/>
      <rgbColor rgb="FF993366"/>
      <rgbColor rgb="FFFFF2CC"/>
      <rgbColor rgb="FFEBF3FB"/>
      <rgbColor rgb="FF660066"/>
      <rgbColor rgb="FFFF8080"/>
      <rgbColor rgb="FF2E5DA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EEF4FF"/>
      <rgbColor rgb="FFFFFF99"/>
      <rgbColor rgb="FF99CCFF"/>
      <rgbColor rgb="FFFF99CC"/>
      <rgbColor rgb="FFCC99FF"/>
      <rgbColor rgb="FFFCE4D6"/>
      <rgbColor rgb="FF3B6F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4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9</v>
      </c>
      <c r="B5" s="6" t="n">
        <v>0.6</v>
      </c>
      <c r="C5" s="6" t="n">
        <v>0.75</v>
      </c>
      <c r="D5" s="6" t="n">
        <v>0.9</v>
      </c>
      <c r="E5" s="7" t="n">
        <f aca="false">(B5+4*C5+D5)/6</f>
        <v>0.75</v>
      </c>
      <c r="F5" s="8" t="s">
        <v>10</v>
      </c>
    </row>
    <row r="6" customFormat="false" ht="21.75" hidden="false" customHeight="true" outlineLevel="0" collapsed="false">
      <c r="A6" s="5" t="s">
        <v>11</v>
      </c>
      <c r="B6" s="6" t="n">
        <v>0.3</v>
      </c>
      <c r="C6" s="6" t="n">
        <v>0.4</v>
      </c>
      <c r="D6" s="6" t="n">
        <v>0.6</v>
      </c>
      <c r="E6" s="7" t="n">
        <f aca="false">(B6+4*C6+D6)/6</f>
        <v>0.416666666666667</v>
      </c>
      <c r="F6" s="8" t="s">
        <v>12</v>
      </c>
    </row>
    <row r="7" customFormat="false" ht="21.75" hidden="false" customHeight="true" outlineLevel="0" collapsed="false">
      <c r="A7" s="4" t="s">
        <v>13</v>
      </c>
      <c r="B7" s="4"/>
      <c r="C7" s="4"/>
      <c r="D7" s="4"/>
      <c r="E7" s="4"/>
      <c r="F7" s="4"/>
    </row>
    <row r="8" customFormat="false" ht="21.75" hidden="false" customHeight="true" outlineLevel="0" collapsed="false">
      <c r="A8" s="5" t="s">
        <v>14</v>
      </c>
      <c r="B8" s="9" t="n">
        <v>30</v>
      </c>
      <c r="C8" s="9" t="n">
        <v>50</v>
      </c>
      <c r="D8" s="9" t="n">
        <v>80</v>
      </c>
      <c r="E8" s="10" t="n">
        <f aca="false">(B8+4*C8+D8)/6</f>
        <v>51.6666666666667</v>
      </c>
      <c r="F8" s="8" t="s">
        <v>15</v>
      </c>
    </row>
    <row r="9" customFormat="false" ht="21.75" hidden="false" customHeight="true" outlineLevel="0" collapsed="false">
      <c r="A9" s="4" t="s">
        <v>16</v>
      </c>
      <c r="B9" s="4"/>
      <c r="C9" s="4"/>
      <c r="D9" s="4"/>
      <c r="E9" s="4"/>
      <c r="F9" s="4"/>
    </row>
    <row r="10" customFormat="false" ht="21.75" hidden="false" customHeight="true" outlineLevel="0" collapsed="false">
      <c r="A10" s="5" t="s">
        <v>17</v>
      </c>
      <c r="B10" s="9" t="n">
        <v>1000000</v>
      </c>
      <c r="C10" s="9" t="n">
        <v>1500000</v>
      </c>
      <c r="D10" s="9" t="n">
        <v>2000000</v>
      </c>
      <c r="E10" s="11" t="n">
        <f aca="false">(B10+4*C10+D10)/6</f>
        <v>1500000</v>
      </c>
      <c r="F10" s="8" t="s">
        <v>18</v>
      </c>
    </row>
    <row r="11" customFormat="false" ht="21.75" hidden="false" customHeight="true" outlineLevel="0" collapsed="false">
      <c r="A11" s="5" t="s">
        <v>19</v>
      </c>
      <c r="B11" s="6" t="n">
        <v>0.4</v>
      </c>
      <c r="C11" s="6" t="n">
        <v>0.6</v>
      </c>
      <c r="D11" s="6" t="n">
        <v>0.8</v>
      </c>
      <c r="E11" s="7" t="n">
        <f aca="false">(B11+4*C11+D11)/6</f>
        <v>0.6</v>
      </c>
      <c r="F11" s="8" t="s">
        <v>20</v>
      </c>
    </row>
    <row r="12" customFormat="false" ht="21.75" hidden="false" customHeight="true" outlineLevel="0" collapsed="false">
      <c r="A12" s="5" t="s">
        <v>21</v>
      </c>
      <c r="B12" s="9" t="n">
        <v>2000000</v>
      </c>
      <c r="C12" s="9" t="n">
        <v>3000000</v>
      </c>
      <c r="D12" s="9" t="n">
        <v>5000000</v>
      </c>
      <c r="E12" s="11" t="n">
        <f aca="false">(B12+4*C12+D12)/6</f>
        <v>3166666.66666667</v>
      </c>
      <c r="F12" s="8" t="s">
        <v>22</v>
      </c>
    </row>
    <row r="13" customFormat="false" ht="15" hidden="false" customHeight="false" outlineLevel="0" collapsed="false">
      <c r="A13" s="12" t="s">
        <v>23</v>
      </c>
      <c r="B13" s="12"/>
      <c r="C13" s="12"/>
      <c r="D13" s="12"/>
      <c r="E13" s="12"/>
      <c r="F13" s="12"/>
    </row>
  </sheetData>
  <mergeCells count="6">
    <mergeCell ref="A1:F1"/>
    <mergeCell ref="A2:F2"/>
    <mergeCell ref="A4:F4"/>
    <mergeCell ref="A7:F7"/>
    <mergeCell ref="A9:F9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45"/>
  </cols>
  <sheetData>
    <row r="1" customFormat="false" ht="39.75" hidden="false" customHeight="true" outlineLevel="0" collapsed="false">
      <c r="A1" s="1" t="s">
        <v>24</v>
      </c>
      <c r="B1" s="1"/>
      <c r="C1" s="1"/>
      <c r="D1" s="1"/>
    </row>
    <row r="2" customFormat="false" ht="19.5" hidden="false" customHeight="true" outlineLevel="0" collapsed="false">
      <c r="A2" s="2" t="s">
        <v>25</v>
      </c>
      <c r="B2" s="2"/>
      <c r="C2" s="2"/>
      <c r="D2" s="2"/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</row>
    <row r="4" customFormat="false" ht="21.75" hidden="false" customHeight="true" outlineLevel="0" collapsed="false">
      <c r="A4" s="4" t="s">
        <v>30</v>
      </c>
      <c r="B4" s="4"/>
      <c r="C4" s="4"/>
      <c r="D4" s="4"/>
    </row>
    <row r="5" customFormat="false" ht="24" hidden="false" customHeight="true" outlineLevel="0" collapsed="false">
      <c r="A5" s="5" t="s">
        <v>31</v>
      </c>
      <c r="B5" s="8" t="s">
        <v>32</v>
      </c>
      <c r="C5" s="13" t="n">
        <f aca="false">Inputs!E5</f>
        <v>0.75</v>
      </c>
      <c r="D5" s="8" t="s">
        <v>33</v>
      </c>
    </row>
    <row r="6" customFormat="false" ht="24" hidden="false" customHeight="true" outlineLevel="0" collapsed="false">
      <c r="A6" s="5" t="s">
        <v>34</v>
      </c>
      <c r="B6" s="8" t="s">
        <v>32</v>
      </c>
      <c r="C6" s="13" t="n">
        <f aca="false">Inputs!E6</f>
        <v>0.416666666666667</v>
      </c>
      <c r="D6" s="8" t="s">
        <v>35</v>
      </c>
    </row>
    <row r="7" customFormat="false" ht="24" hidden="false" customHeight="true" outlineLevel="0" collapsed="false">
      <c r="A7" s="5" t="s">
        <v>36</v>
      </c>
      <c r="B7" s="8" t="s">
        <v>32</v>
      </c>
      <c r="C7" s="13" t="n">
        <f aca="false">Inputs!E8</f>
        <v>51.6666666666667</v>
      </c>
      <c r="D7" s="8" t="s">
        <v>37</v>
      </c>
    </row>
    <row r="8" customFormat="false" ht="24" hidden="false" customHeight="true" outlineLevel="0" collapsed="false">
      <c r="A8" s="5" t="s">
        <v>38</v>
      </c>
      <c r="B8" s="8" t="s">
        <v>32</v>
      </c>
      <c r="C8" s="14" t="n">
        <f aca="false">Inputs!E10</f>
        <v>1500000</v>
      </c>
      <c r="D8" s="8" t="s">
        <v>39</v>
      </c>
    </row>
    <row r="9" customFormat="false" ht="24" hidden="false" customHeight="true" outlineLevel="0" collapsed="false">
      <c r="A9" s="5" t="s">
        <v>40</v>
      </c>
      <c r="B9" s="8" t="s">
        <v>32</v>
      </c>
      <c r="C9" s="13" t="n">
        <f aca="false">Inputs!E11</f>
        <v>0.6</v>
      </c>
      <c r="D9" s="8" t="s">
        <v>41</v>
      </c>
    </row>
    <row r="10" customFormat="false" ht="24" hidden="false" customHeight="true" outlineLevel="0" collapsed="false">
      <c r="A10" s="5" t="s">
        <v>42</v>
      </c>
      <c r="B10" s="8" t="s">
        <v>32</v>
      </c>
      <c r="C10" s="14" t="n">
        <f aca="false">Inputs!E12</f>
        <v>3166666.66666667</v>
      </c>
      <c r="D10" s="8" t="s">
        <v>43</v>
      </c>
    </row>
    <row r="11" customFormat="false" ht="24" hidden="false" customHeight="true" outlineLevel="0" collapsed="false">
      <c r="A11" s="4" t="s">
        <v>44</v>
      </c>
      <c r="B11" s="4"/>
      <c r="C11" s="4"/>
      <c r="D11" s="4"/>
    </row>
    <row r="12" customFormat="false" ht="27.75" hidden="false" customHeight="true" outlineLevel="0" collapsed="false">
      <c r="A12" s="15" t="s">
        <v>45</v>
      </c>
      <c r="B12" s="16" t="s">
        <v>46</v>
      </c>
      <c r="C12" s="17" t="n">
        <f aca="false">Inputs!E5/(Inputs!E5+Inputs!E6)</f>
        <v>0.642857142857143</v>
      </c>
      <c r="D12" s="16" t="s">
        <v>47</v>
      </c>
    </row>
    <row r="13" customFormat="false" ht="27.75" hidden="false" customHeight="true" outlineLevel="0" collapsed="false">
      <c r="A13" s="15" t="s">
        <v>48</v>
      </c>
      <c r="B13" s="16" t="s">
        <v>49</v>
      </c>
      <c r="C13" s="18" t="n">
        <f aca="false">Inputs!E8*C12</f>
        <v>33.2142857142857</v>
      </c>
      <c r="D13" s="16" t="s">
        <v>50</v>
      </c>
    </row>
    <row r="14" customFormat="false" ht="27.75" hidden="false" customHeight="true" outlineLevel="0" collapsed="false">
      <c r="A14" s="15" t="s">
        <v>51</v>
      </c>
      <c r="B14" s="16" t="s">
        <v>52</v>
      </c>
      <c r="C14" s="18" t="n">
        <f aca="false">C13*Inputs!E11</f>
        <v>19.9285714285714</v>
      </c>
      <c r="D14" s="16" t="s">
        <v>53</v>
      </c>
    </row>
    <row r="15" customFormat="false" ht="24" hidden="false" customHeight="true" outlineLevel="0" collapsed="false">
      <c r="A15" s="4" t="s">
        <v>54</v>
      </c>
      <c r="B15" s="4"/>
      <c r="C15" s="4"/>
      <c r="D15" s="4"/>
    </row>
    <row r="16" customFormat="false" ht="27.75" hidden="false" customHeight="true" outlineLevel="0" collapsed="false">
      <c r="A16" s="15" t="s">
        <v>55</v>
      </c>
      <c r="B16" s="16" t="s">
        <v>56</v>
      </c>
      <c r="C16" s="18" t="n">
        <f aca="false">C12</f>
        <v>0.642857142857143</v>
      </c>
      <c r="D16" s="16" t="s">
        <v>57</v>
      </c>
    </row>
    <row r="17" customFormat="false" ht="27.75" hidden="false" customHeight="true" outlineLevel="0" collapsed="false">
      <c r="A17" s="15" t="s">
        <v>58</v>
      </c>
      <c r="B17" s="16" t="s">
        <v>59</v>
      </c>
      <c r="C17" s="18" t="n">
        <f aca="false">C13</f>
        <v>33.2142857142857</v>
      </c>
      <c r="D17" s="16" t="s">
        <v>60</v>
      </c>
    </row>
    <row r="18" customFormat="false" ht="27.75" hidden="false" customHeight="true" outlineLevel="0" collapsed="false">
      <c r="A18" s="15" t="s">
        <v>61</v>
      </c>
      <c r="B18" s="16" t="s">
        <v>62</v>
      </c>
      <c r="C18" s="19" t="n">
        <f aca="false">(C16*Inputs!E10)+(C17*Inputs!E12)</f>
        <v>106142857.142857</v>
      </c>
      <c r="D18" s="16" t="s">
        <v>63</v>
      </c>
    </row>
    <row r="19" customFormat="false" ht="24" hidden="false" customHeight="true" outlineLevel="0" collapsed="false">
      <c r="A19" s="4" t="s">
        <v>64</v>
      </c>
      <c r="B19" s="4"/>
      <c r="C19" s="4"/>
      <c r="D19" s="4"/>
    </row>
    <row r="20" customFormat="false" ht="27.75" hidden="false" customHeight="true" outlineLevel="0" collapsed="false">
      <c r="A20" s="20" t="s">
        <v>65</v>
      </c>
      <c r="B20" s="21" t="s">
        <v>66</v>
      </c>
      <c r="C20" s="22" t="n">
        <f aca="false">C18</f>
        <v>106142857.142857</v>
      </c>
      <c r="D20" s="21" t="s">
        <v>67</v>
      </c>
    </row>
    <row r="21" customFormat="false" ht="24" hidden="false" customHeight="true" outlineLevel="0" collapsed="false"/>
    <row r="22" customFormat="false" ht="24" hidden="false" customHeight="true" outlineLevel="0" collapsed="false">
      <c r="A22" s="4" t="s">
        <v>68</v>
      </c>
      <c r="B22" s="4"/>
      <c r="C22" s="4"/>
      <c r="D22" s="4"/>
    </row>
    <row r="23" customFormat="false" ht="180" hidden="false" customHeight="true" outlineLevel="0" collapsed="false">
      <c r="A23" s="23" t="s">
        <v>69</v>
      </c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3"/>
      <c r="B25" s="23"/>
      <c r="C25" s="23"/>
      <c r="D25" s="23"/>
    </row>
    <row r="26" customFormat="false" ht="15" hidden="false" customHeight="false" outlineLevel="0" collapsed="false">
      <c r="A26" s="23"/>
      <c r="B26" s="23"/>
      <c r="C26" s="23"/>
      <c r="D26" s="23"/>
    </row>
    <row r="27" customFormat="false" ht="15" hidden="false" customHeight="false" outlineLevel="0" collapsed="false">
      <c r="A27" s="23"/>
      <c r="B27" s="23"/>
      <c r="C27" s="23"/>
      <c r="D27" s="23"/>
    </row>
    <row r="28" customFormat="false" ht="15" hidden="false" customHeight="false" outlineLevel="0" collapsed="false">
      <c r="A28" s="23"/>
      <c r="B28" s="23"/>
      <c r="C28" s="23"/>
      <c r="D28" s="23"/>
    </row>
    <row r="29" customFormat="false" ht="15" hidden="false" customHeight="false" outlineLevel="0" collapsed="false">
      <c r="A29" s="23"/>
      <c r="B29" s="23"/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3"/>
      <c r="B31" s="23"/>
      <c r="C31" s="23"/>
      <c r="D31" s="23"/>
    </row>
    <row r="32" customFormat="false" ht="15" hidden="false" customHeight="false" outlineLevel="0" collapsed="false">
      <c r="A32" s="23"/>
      <c r="B32" s="23"/>
      <c r="C32" s="23"/>
      <c r="D32" s="23"/>
    </row>
  </sheetData>
  <mergeCells count="8">
    <mergeCell ref="A1:D1"/>
    <mergeCell ref="A2:D2"/>
    <mergeCell ref="A4:D4"/>
    <mergeCell ref="A11:D11"/>
    <mergeCell ref="A15:D15"/>
    <mergeCell ref="A19:D19"/>
    <mergeCell ref="A22:D22"/>
    <mergeCell ref="A23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2026-05-17T23:46:56Z</dcterms:created>
  <dc:creator>openpyxl</dc:creator>
  <dc:description/>
  <dc:language>en-US</dc:language>
  <cp:lastModifiedBy/>
  <dcterms:modified xsi:type="dcterms:W3CDTF">2026-05-17T23:46:56Z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
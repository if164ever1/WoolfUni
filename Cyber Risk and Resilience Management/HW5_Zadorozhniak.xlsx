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puts" sheetId="1" state="visible" r:id="rId2"/>
    <sheet name="Calculations" sheetId="2" state="visible" r:id="rId3"/>
    <sheet name="DZ5_Assumptions" sheetId="3" state="visible" r:id="rId4"/>
    <sheet name="DZ5_Controls" sheetId="4" state="visible" r:id="rId5"/>
    <sheet name="DZ5_Risk" sheetId="5" state="visible" r:id="rId6"/>
    <sheet name="DZ5_Budget_RR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<sst xmlns="http://schemas.openxmlformats.org/spreadsheetml/2006/main" count="303" uniqueCount="238">
  <si>
    <t xml:space="preserve">FAIR Risk Analysis — Кейс 1: Банк (витік конфіденційних даних)</t>
  </si>
  <si>
    <t xml:space="preserve">Аркуш Inputs — Вхідні параметри для аналізу ризиків</t>
  </si>
  <si>
    <t xml:space="preserve">Параметр</t>
  </si>
  <si>
    <t xml:space="preserve">Min</t>
  </si>
  <si>
    <t xml:space="preserve">Mode</t>
  </si>
  <si>
    <t xml:space="preserve">Max</t>
  </si>
  <si>
    <t xml:space="preserve">PERT Estimate</t>
  </si>
  <si>
    <t xml:space="preserve">Опис</t>
  </si>
  <si>
    <t xml:space="preserve">▌ Параметри загрози (Threat Parameters)</t>
  </si>
  <si>
    <t xml:space="preserve">Threat Capability (Tcap)</t>
  </si>
  <si>
    <t xml:space="preserve">Рівень технічних можливостей атакувальника (0–1)</t>
  </si>
  <si>
    <t xml:space="preserve">Difficulty (Diff)</t>
  </si>
  <si>
    <t xml:space="preserve">Складність успішного виконання атаки (0–1)</t>
  </si>
  <si>
    <t xml:space="preserve">▌ Параметри частоти (Frequency Parameters)</t>
  </si>
  <si>
    <t xml:space="preserve">Threat Event Frequency (TEF)</t>
  </si>
  <si>
    <t xml:space="preserve">Очікувана кількість спроб атак на рік</t>
  </si>
  <si>
    <t xml:space="preserve">▌ Параметри втрат (Loss Parameters)</t>
  </si>
  <si>
    <t xml:space="preserve">Primary Loss Magnitude (PLM)</t>
  </si>
  <si>
    <t xml:space="preserve">Середні фінансові втрати від одного інциденту (грн)</t>
  </si>
  <si>
    <t xml:space="preserve">Secondary Loss Event Frequency (SLEF)</t>
  </si>
  <si>
    <t xml:space="preserve">Ймовірність настання вторинних втрат (штрафи, суди) (0–1)</t>
  </si>
  <si>
    <t xml:space="preserve">Secondary Loss Magnitude (SLM)</t>
  </si>
  <si>
    <t xml:space="preserve">Вторинні фінансові втрати — штрафи, репутаційні збитки (грн)</t>
  </si>
  <si>
    <t xml:space="preserve">📌 PERT Estimate = (Min + 4×Mode + Max) / 6   |   Синій колір = вхідні дані; Чорний = розраховані значення</t>
  </si>
  <si>
    <t xml:space="preserve">FAIR Risk Analysis — Calculations (Розрахунки)</t>
  </si>
  <si>
    <t xml:space="preserve">Аркуш Calculations — Автоматизовані розрахунки FAIR. Всі значення посилаються на аркуш Inputs.</t>
  </si>
  <si>
    <t xml:space="preserve">Показник</t>
  </si>
  <si>
    <t xml:space="preserve">Формула (FAIR)</t>
  </si>
  <si>
    <t xml:space="preserve">Значення</t>
  </si>
  <si>
    <t xml:space="preserve">Опис / Інтерпретація</t>
  </si>
  <si>
    <t xml:space="preserve">▌ Крок 1: Вхідні дані (PERT Estimates з аркушу Inputs)</t>
  </si>
  <si>
    <t xml:space="preserve">Tcap (PERT)</t>
  </si>
  <si>
    <t xml:space="preserve">PERT = (Min + 4×Mode + Max) / 6</t>
  </si>
  <si>
    <t xml:space="preserve">Рівень можливостей атакувальника (PERT)</t>
  </si>
  <si>
    <t xml:space="preserve">Diff (PERT)</t>
  </si>
  <si>
    <t xml:space="preserve">Складність атаки (PERT)</t>
  </si>
  <si>
    <t xml:space="preserve">TEF (PERT)</t>
  </si>
  <si>
    <t xml:space="preserve">Частота подій загрози на рік (PERT)</t>
  </si>
  <si>
    <t xml:space="preserve">PLM (PERT)</t>
  </si>
  <si>
    <t xml:space="preserve">Первинна величина втрат (PERT), грн</t>
  </si>
  <si>
    <t xml:space="preserve">SLEF (PERT)</t>
  </si>
  <si>
    <t xml:space="preserve">Частота вторинних втрат (PERT)</t>
  </si>
  <si>
    <t xml:space="preserve">SLM (PERT)</t>
  </si>
  <si>
    <t xml:space="preserve">Вторинна величина втрат (PERT), грн</t>
  </si>
  <si>
    <t xml:space="preserve">▌ Крок 2: Основні розрахунки FAIR</t>
  </si>
  <si>
    <t xml:space="preserve">Vulnerability (Vuln)</t>
  </si>
  <si>
    <t xml:space="preserve">Vuln = Tcap / (Tcap + Diff)</t>
  </si>
  <si>
    <t xml:space="preserve">Ймовірність успішної атаки. Чим вищий Tcap відносно Diff — тим вища вразливість.</t>
  </si>
  <si>
    <t xml:space="preserve">Loss Event Frequency (LEF)</t>
  </si>
  <si>
    <t xml:space="preserve">LEF = TEF × Vuln</t>
  </si>
  <si>
    <t xml:space="preserve">Очікувана кількість успішних атак (із фінансовими втратами) на рік.</t>
  </si>
  <si>
    <t xml:space="preserve">Secondary Risk (SR)</t>
  </si>
  <si>
    <t xml:space="preserve">SR = LEF × SLEF</t>
  </si>
  <si>
    <t xml:space="preserve">Кількість подій на рік, що спричиняють вторинні втрати (штрафи, репутація, суди).</t>
  </si>
  <si>
    <t xml:space="preserve">▌ Крок 3: Розрахунок втрат</t>
  </si>
  <si>
    <t xml:space="preserve">N_primary — кількість первинних інцидентів</t>
  </si>
  <si>
    <t xml:space="preserve">N_primary = LEF</t>
  </si>
  <si>
    <t xml:space="preserve">Кількість первинних інцидентів на рік = LEF (кожна успішна атака є первинним інцидентом).</t>
  </si>
  <si>
    <t xml:space="preserve">N_secondary — кількість вторинних інцидентів</t>
  </si>
  <si>
    <t xml:space="preserve">N_secondary = LEF × SLEF</t>
  </si>
  <si>
    <t xml:space="preserve">Кількість інцидентів на рік, що тягнуть за собою вторинні втрати.</t>
  </si>
  <si>
    <t xml:space="preserve">Loss Distribution (LossDist) — загальні втрати</t>
  </si>
  <si>
    <t xml:space="preserve">LossDist = (N_primary × PLM) + (N_secondary × SLM)</t>
  </si>
  <si>
    <t xml:space="preserve">Сума первинних та вторинних фінансових втрат за рік (грн).</t>
  </si>
  <si>
    <t xml:space="preserve">▌ Крок 4: Annualized Loss Expectancy (ALE) — Ключовий показник</t>
  </si>
  <si>
    <t xml:space="preserve">🎯  ALE — Річні Очікувані Збитки</t>
  </si>
  <si>
    <t xml:space="preserve">ALE = LossDist</t>
  </si>
  <si>
    <t xml:space="preserve">Очікувані загальні фінансові втрати за рік. Ключовий показник для прийняття рішень щодо інвестицій у безпеку.</t>
  </si>
  <si>
    <t xml:space="preserve">▌ Крок 5: Висновки та рекомендації</t>
  </si>
  <si>
    <t xml:space="preserve">ВИСНОВКИ АНАЛІЗУ РИЗИКУ
1. Вразливість (Vuln) банку є відносно HIGH, оскільки можливості атакувальника (Tcap ≈ 0.75) суттєво перевищують складність атаки (Diff ≈ 0.42). Це означає, що більше половини спроб атакувальника є успішними.
2. Частота втратних подій (LEF) становить ~30+ подій на рік — кожна з яких несе прямі фінансові втрати.
3. ALE є критично HIGH. При бюджетуванні безпеки: інвестиції у засоби захисту виправдані, якщо їхня вартість менша за ALE.
РЕКОМЕНДАЦІЇ:
• Впровадити обов'язкову MFA для всіх співробітників (знижує Tcap)
• Провести навчання з протидії фішингу (знижує TEF)
• Оновити IDS/IPS та налаштувати SIEM-систему (підвищує Diff)
• Зашифрувати бази даних та налаштувати DLP (знижує PLM)
• Розробити план реагування на інциденти (знижує SLM)</t>
  </si>
  <si>
    <t xml:space="preserve">ДЗ5 — Припущення, джерела та вихідні дані</t>
  </si>
  <si>
    <t xml:space="preserve">Кейс: банк; загроза: витік конфіденційних даних клієнтів. Числові припущення можна змінювати у синіх клітинках; формули в інших аркушах оновляться автоматично.</t>
  </si>
  <si>
    <t xml:space="preserve">Пояснення</t>
  </si>
  <si>
    <t xml:space="preserve">Курс USD/UAH для навчального розрахунку</t>
  </si>
  <si>
    <t xml:space="preserve">Можна змінити за потреби</t>
  </si>
  <si>
    <t xml:space="preserve">Кількість користувачів MFA</t>
  </si>
  <si>
    <t xml:space="preserve">Працівники та привілейовані користувачі банку</t>
  </si>
  <si>
    <t xml:space="preserve">Кількість endpoint для EDR/IDS</t>
  </si>
  <si>
    <t xml:space="preserve">Робочі станції та сервери</t>
  </si>
  <si>
    <t xml:space="preserve">SIEM, обсяг логів, GB/день</t>
  </si>
  <si>
    <t xml:space="preserve">Навчальне припущення для бюджету</t>
  </si>
  <si>
    <t xml:space="preserve">WAF, запити на місяць, млн</t>
  </si>
  <si>
    <t xml:space="preserve">Зниження TEF після контролів</t>
  </si>
  <si>
    <t xml:space="preserve">MFA, WAF, awareness, IAM</t>
  </si>
  <si>
    <t xml:space="preserve">Множник збільшення Difficulty</t>
  </si>
  <si>
    <t xml:space="preserve">Технічні та адміністративні контроли збільшують складність атаки</t>
  </si>
  <si>
    <t xml:space="preserve">Зниження PLM після контролів</t>
  </si>
  <si>
    <t xml:space="preserve">Шифрування, DLP, EDR, SIEM, backup</t>
  </si>
  <si>
    <t xml:space="preserve">Джерело / прайс</t>
  </si>
  <si>
    <t xml:space="preserve">URL</t>
  </si>
  <si>
    <t xml:space="preserve">Що використано в моделі</t>
  </si>
  <si>
    <t xml:space="preserve">Примітка</t>
  </si>
  <si>
    <t xml:space="preserve">Microsoft Entra ID pricing</t>
  </si>
  <si>
    <t xml:space="preserve">https://www.microsoft.com/en-us/security/business/microsoft-entra-pricing</t>
  </si>
  <si>
    <t xml:space="preserve">MFA / identity: Entra ID P1 $6/user/month</t>
  </si>
  <si>
    <t xml:space="preserve">Фактична ціна залежить від ліцензійного пакета</t>
  </si>
  <si>
    <t xml:space="preserve">Microsoft Entra MFA licensing</t>
  </si>
  <si>
    <t xml:space="preserve">https://learn.microsoft.com/en-us/entra/identity/authentication/concept-mfa-licensing</t>
  </si>
  <si>
    <t xml:space="preserve">Пояснення варіантів MFA licensing</t>
  </si>
  <si>
    <t xml:space="preserve">Може бути включено в наявні ліцензії</t>
  </si>
  <si>
    <t xml:space="preserve">AWS WAF pricing</t>
  </si>
  <si>
    <t xml:space="preserve">https://aws.amazon.com/waf/pricing/</t>
  </si>
  <si>
    <t xml:space="preserve">Web ACL, rules, request pricing</t>
  </si>
  <si>
    <t xml:space="preserve">Вартість залежить від кількості правил і трафіку</t>
  </si>
  <si>
    <t xml:space="preserve">Microsoft Sentinel pricing</t>
  </si>
  <si>
    <t xml:space="preserve">https://www.microsoft.com/en-us/security/pricing/microsoft-sentinel</t>
  </si>
  <si>
    <t xml:space="preserve">Usage-based SIEM/log processing assumption</t>
  </si>
  <si>
    <t xml:space="preserve">Точний кошторис залежить від GB/day та retention</t>
  </si>
  <si>
    <t xml:space="preserve">Microsoft Defender for Endpoint</t>
  </si>
  <si>
    <t xml:space="preserve">https://www.microsoft.com/en-us/security/business/endpoint-security/microsoft-defender-endpoint</t>
  </si>
  <si>
    <t xml:space="preserve">EDR/endpoint protection capability</t>
  </si>
  <si>
    <t xml:space="preserve">Ціна може бути включена в M365 E5 або окрему угоду</t>
  </si>
  <si>
    <t xml:space="preserve">Azure Backup pricing</t>
  </si>
  <si>
    <t xml:space="preserve">https://azure.microsoft.com/en-us/pricing/details/backup/</t>
  </si>
  <si>
    <t xml:space="preserve">Backup pricing model</t>
  </si>
  <si>
    <t xml:space="preserve">Залежить від protected instances, storage, redundancy</t>
  </si>
  <si>
    <t xml:space="preserve">Метод розрахунку</t>
  </si>
  <si>
    <t xml:space="preserve">Навчальне припущення</t>
  </si>
  <si>
    <t xml:space="preserve">CF та бюджет округлені для FAIR-моделі</t>
  </si>
  <si>
    <t xml:space="preserve">Не є комерційною пропозицією</t>
  </si>
  <si>
    <t xml:space="preserve">ДЗ5 — Вибір заходів контролю для загрози витоку конфіденційних даних</t>
  </si>
  <si>
    <t xml:space="preserve">Загроза</t>
  </si>
  <si>
    <t xml:space="preserve">Контроль</t>
  </si>
  <si>
    <t xml:space="preserve">Категорія</t>
  </si>
  <si>
    <t xml:space="preserve">Тип</t>
  </si>
  <si>
    <t xml:space="preserve">Очікуваний ефект</t>
  </si>
  <si>
    <t xml:space="preserve">Параметр FAIR</t>
  </si>
  <si>
    <t xml:space="preserve">CF</t>
  </si>
  <si>
    <t xml:space="preserve">База вартості</t>
  </si>
  <si>
    <t xml:space="preserve">Річна вартість, грн</t>
  </si>
  <si>
    <t xml:space="preserve">Джерело / припущення</t>
  </si>
  <si>
    <t xml:space="preserve">Витік конфіденційних даних клієнтів банку</t>
  </si>
  <si>
    <t xml:space="preserve">MFA для співробітників і адміністраторів</t>
  </si>
  <si>
    <t xml:space="preserve">Запобігання</t>
  </si>
  <si>
    <t xml:space="preserve">Технічний</t>
  </si>
  <si>
    <t xml:space="preserve">Зменшує ймовірність компрометації облікових записів; знижує Vuln.</t>
  </si>
  <si>
    <t xml:space="preserve">Vuln</t>
  </si>
  <si>
    <t xml:space="preserve">Entra ID P1: користувачі × $6 × 12 × курс</t>
  </si>
  <si>
    <t xml:space="preserve">Microsoft Entra pricing</t>
  </si>
  <si>
    <t xml:space="preserve">Навчання з фішингу + симуляції</t>
  </si>
  <si>
    <t xml:space="preserve">Адміністративний</t>
  </si>
  <si>
    <t xml:space="preserve">Зменшує успішність фішингу та кількість реальних спроб; знижує TEF.</t>
  </si>
  <si>
    <t xml:space="preserve">TEF</t>
  </si>
  <si>
    <t xml:space="preserve">Фіксований навчальний бюджет</t>
  </si>
  <si>
    <t xml:space="preserve">Припущення</t>
  </si>
  <si>
    <t xml:space="preserve">Політика мінімальних привілеїв + щоквартальний access review</t>
  </si>
  <si>
    <t xml:space="preserve">Зменшує площу атаки й шкоду від скомпрометованого акаунта; знижує Vuln/PLM.</t>
  </si>
  <si>
    <t xml:space="preserve">Vuln, PLM</t>
  </si>
  <si>
    <t xml:space="preserve">WAF + managed rules + anti-bot</t>
  </si>
  <si>
    <t xml:space="preserve">Блокує типові веб-експлойти та автоматизовані атаки; знижує TEF і Vuln.</t>
  </si>
  <si>
    <t xml:space="preserve">TEF, Vuln</t>
  </si>
  <si>
    <t xml:space="preserve">AWS WAF: web ACL + rules + requests + впровадження</t>
  </si>
  <si>
    <t xml:space="preserve">Шифрування БД + керування ключами + DLP</t>
  </si>
  <si>
    <t xml:space="preserve">Зменшує обсяг корисних даних у разі витоку та регуляторні наслідки; знижує PLM/SLM.</t>
  </si>
  <si>
    <t xml:space="preserve">PLM, SLM</t>
  </si>
  <si>
    <t xml:space="preserve">SIEM: централізація логів і кореляційні правила</t>
  </si>
  <si>
    <t xml:space="preserve">Виявлення</t>
  </si>
  <si>
    <t xml:space="preserve">Швидше виявлення аномалій і скорочення dwell time; знижує PLM/SLM.</t>
  </si>
  <si>
    <t xml:space="preserve">GB/day × 365 × $0.10 × курс + налаштування</t>
  </si>
  <si>
    <t xml:space="preserve">Microsoft Sentinel pricing + припущення</t>
  </si>
  <si>
    <t xml:space="preserve">IDS/IPS + EDR для endpoint</t>
  </si>
  <si>
    <t xml:space="preserve">Виявляє exploit, malware і lateral movement; знижує LEF і PLM.</t>
  </si>
  <si>
    <t xml:space="preserve">LEF, PLM</t>
  </si>
  <si>
    <t xml:space="preserve">endpoint × $5 × 12 × курс + супровід</t>
  </si>
  <si>
    <t xml:space="preserve">Microsoft Defender for Endpoint + припущення</t>
  </si>
  <si>
    <t xml:space="preserve">План реагування на інциденти + tabletop exercises</t>
  </si>
  <si>
    <t xml:space="preserve">Відновлення</t>
  </si>
  <si>
    <t xml:space="preserve">Скорочує час локалізації, юридичні та PR-втрати; знижує SLM.</t>
  </si>
  <si>
    <t xml:space="preserve">SLM</t>
  </si>
  <si>
    <t xml:space="preserve">Immutable backup + регулярне тестування відновлення</t>
  </si>
  <si>
    <t xml:space="preserve">Дозволяє відновити критичні системи після ransomware/data loss; знижує PLM/SLM.</t>
  </si>
  <si>
    <t xml:space="preserve">Azure Backup pricing + припущення</t>
  </si>
  <si>
    <t xml:space="preserve">Контроль фізичного доступу до серверних приміщень</t>
  </si>
  <si>
    <t xml:space="preserve">Фізичний</t>
  </si>
  <si>
    <t xml:space="preserve">Зменшує ризик несанкціонованого фізичного доступу до інфраструктури; знижує Vuln.</t>
  </si>
  <si>
    <t xml:space="preserve">Відеонагляд і перегляд журналів фізичного доступу</t>
  </si>
  <si>
    <t xml:space="preserve">Допомагає виявити/розслідувати інсайдерські дії та втручання; знижує SLM.</t>
  </si>
  <si>
    <t xml:space="preserve">ДЗ5 — Переоцінка FAIR-параметрів після впровадження контролів</t>
  </si>
  <si>
    <t xml:space="preserve">Було</t>
  </si>
  <si>
    <t xml:space="preserve">Очікуване після контролів</t>
  </si>
  <si>
    <t xml:space="preserve">Зміна</t>
  </si>
  <si>
    <t xml:space="preserve">Після контролів</t>
  </si>
  <si>
    <t xml:space="preserve">Можливості атакувальника напряму не змінюються, бо контроль впроваджується на стороні банку.</t>
  </si>
  <si>
    <t xml:space="preserve">ALE</t>
  </si>
  <si>
    <t xml:space="preserve">MFA, WAF, IAM, EDR і фізичний контроль підвищують складність успішної атаки.</t>
  </si>
  <si>
    <t xml:space="preserve">LEF</t>
  </si>
  <si>
    <t xml:space="preserve">Вразливість падає, бо Diff зростає щодо Tcap.</t>
  </si>
  <si>
    <t xml:space="preserve">PLM</t>
  </si>
  <si>
    <t xml:space="preserve">Awareness, WAF та IAM зменшують кількість результативних спроб атак.</t>
  </si>
  <si>
    <t xml:space="preserve">LEF знижується як наслідок меншого TEF та меншої Vuln.</t>
  </si>
  <si>
    <t xml:space="preserve">Шифрування, DLP, EDR, SIEM і backup зменшують прямі витрати інциденту.</t>
  </si>
  <si>
    <t xml:space="preserve">Краща реакція та контроль доказів зменшують імовірність штрафів/судів після інциденту.</t>
  </si>
  <si>
    <t xml:space="preserve">IR-план, SIEM, DLP та комунікації скорочують регуляторні й репутаційні втрати.</t>
  </si>
  <si>
    <t xml:space="preserve">Secondary Risk (SR = LEF × SLEF)</t>
  </si>
  <si>
    <t xml:space="preserve">Очікувана кількість інцидентів із вторинними втратами.</t>
  </si>
  <si>
    <t xml:space="preserve">Annualized Loss Expectancy (ALE)</t>
  </si>
  <si>
    <t xml:space="preserve">Ключовий показник: LEF×PLM + SR×SLM.</t>
  </si>
  <si>
    <t xml:space="preserve">ДЗ5 — Розрахунок залишкового ризику та бюджетний аналіз</t>
  </si>
  <si>
    <t xml:space="preserve">Формула / пояснення</t>
  </si>
  <si>
    <t xml:space="preserve">грн</t>
  </si>
  <si>
    <t xml:space="preserve">Початковий ризик / ALE</t>
  </si>
  <si>
    <t xml:space="preserve">Коректний baseline FAIR: LEF×PLM + SR×SLM</t>
  </si>
  <si>
    <t xml:space="preserve">Початковий ALE</t>
  </si>
  <si>
    <t xml:space="preserve">Залишковий ризик за FAIR-переоцінкою</t>
  </si>
  <si>
    <t xml:space="preserve">Очікуване ALE після контролів</t>
  </si>
  <si>
    <t xml:space="preserve">Residual ALE</t>
  </si>
  <si>
    <t xml:space="preserve">Сумарна річна вартість контролів</t>
  </si>
  <si>
    <t xml:space="preserve">SUM по таблиці контролів</t>
  </si>
  <si>
    <t xml:space="preserve">Вартість контролів</t>
  </si>
  <si>
    <t xml:space="preserve">Зниження ризику</t>
  </si>
  <si>
    <t xml:space="preserve">Початковий ALE − Residual ALE</t>
  </si>
  <si>
    <t xml:space="preserve">Зниження ризику, %</t>
  </si>
  <si>
    <t xml:space="preserve">Risk reduction / Initial ALE</t>
  </si>
  <si>
    <t xml:space="preserve">Комбінований CF</t>
  </si>
  <si>
    <t xml:space="preserve">1 − PRODUCT(1 − CF_i)</t>
  </si>
  <si>
    <t xml:space="preserve">RR за CF</t>
  </si>
  <si>
    <t xml:space="preserve">Initial ALE × (1 − Combined CF)</t>
  </si>
  <si>
    <t xml:space="preserve">Економічний ефект</t>
  </si>
  <si>
    <t xml:space="preserve">Risk reduction − annual control cost</t>
  </si>
  <si>
    <t xml:space="preserve">Benefit/Cost ratio</t>
  </si>
  <si>
    <t xml:space="preserve">Risk reduction / annual control cost</t>
  </si>
  <si>
    <t xml:space="preserve">Рішення</t>
  </si>
  <si>
    <t xml:space="preserve">Впроваджувати базовий пакет контролів</t>
  </si>
  <si>
    <t xml:space="preserve">Витрати суттєво нижчі за очікуване зниження ризику</t>
  </si>
  <si>
    <t xml:space="preserve">Що робити із залишковим ризиком</t>
  </si>
  <si>
    <t xml:space="preserve">Прийняти частково + розглянути cyber insurance</t>
  </si>
  <si>
    <t xml:space="preserve">Страхування доцільне для залишкових регуляторних/репутаційних втрат</t>
  </si>
  <si>
    <t xml:space="preserve">Висновок</t>
  </si>
  <si>
    <t xml:space="preserve">1) Економічна доцільність</t>
  </si>
  <si>
    <t xml:space="preserve">Так. Очікуване зниження ризику значно перевищує річну вартість контролів.</t>
  </si>
  <si>
    <t xml:space="preserve">2) Чи потрібно ще інвестувати</t>
  </si>
  <si>
    <t xml:space="preserve">Так, але пріоритетно: після базового пакета інвестувати у SOC maturity, IAM governance, DLP tuning та регулярні тести відновлення.</t>
  </si>
  <si>
    <t xml:space="preserve">3) Прийняття / страхування ризику</t>
  </si>
  <si>
    <t xml:space="preserve">Залишковий ризик не дорівнює нулю. Його доцільно частково прийняти за умови моніторингу KPI та розглянути cyber insurance.</t>
  </si>
  <si>
    <t xml:space="preserve">4) Найбільший ефект</t>
  </si>
  <si>
    <t xml:space="preserve">MFA, WAF, SIEM/EDR, шифрування/DLP та IR-процес дають основну частину зниження ALE.</t>
  </si>
  <si>
    <t xml:space="preserve">5) Умова перегляду</t>
  </si>
  <si>
    <t xml:space="preserve">Перераховувати модель після зміни кількості інцидентів, обсягу логів, цін ліцензій або результатів pentest/аудиту.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</si>
</sst>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0.00"/>
    <numFmt numFmtId="171" formatCode="#,##0"/>
    <numFmt numFmtId="172" formatCode="#,##0.00"/>
    <numFmt numFmtId="173" formatCode="0.0000"/>
    <numFmt numFmtId="174" formatCode="#,##0&quot; грн&quot;"/>
    <numFmt numFmtId="175" formatCode="0.0%"/>
    <numFmt numFmtId="176" formatCode="0.00\x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8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7F6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2"/>
    </font>
    <font>
      <b val="true"/>
      <sz val="11"/>
      <color rgb="FF1F4E78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5DA6"/>
        <bgColor rgb="FF3B6FB5"/>
      </patternFill>
    </fill>
    <fill>
      <patternFill patternType="solid">
        <fgColor rgb="FF3B6FB5"/>
        <bgColor rgb="FF2E5DA6"/>
      </patternFill>
    </fill>
    <fill>
      <patternFill patternType="solid">
        <fgColor rgb="FFEBF3FB"/>
        <bgColor rgb="FFEEF4FF"/>
      </patternFill>
    </fill>
    <fill>
      <patternFill patternType="solid">
        <fgColor rgb="FFFFF2CC"/>
        <bgColor rgb="FFFCE4D6"/>
      </patternFill>
    </fill>
    <fill>
      <patternFill patternType="solid">
        <fgColor rgb="FFEAF4E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EEF4FF"/>
        <bgColor rgb="FFEBF3FB"/>
      </patternFill>
    </fill>
    <fill>
      <patternFill patternType="solid">
        <fgColor rgb="FF1F4E78"/>
        <bgColor rgb="FF1F3864"/>
      </patternFill>
    </fill>
    <fill>
      <patternFill patternType="solid">
        <fgColor rgb="FF5B9BD5"/>
        <bgColor rgb="FF4F81BD"/>
      </patternFill>
    </fill>
    <fill>
      <patternFill patternType="solid">
        <fgColor rgb="FFD9EAF7"/>
        <bgColor rgb="FFEB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/>
      <top style="thin">
        <color rgb="FF8EAADB"/>
      </top>
      <bottom style="thin">
        <color rgb="FF8EAADB"/>
      </bottom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 diagonalUp="false" diagonalDown="false">
      <left style="thin">
        <color rgb="FF8EAADB"/>
      </left>
      <right/>
      <top style="thin">
        <color rgb="FF8EAADB"/>
      </top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2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1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1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4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2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3" fontId="12" fillId="7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7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7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4" fontId="15" fillId="8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3" xfId="2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0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11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5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12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4">
    <dxf>
      <fill>
        <patternFill patternType="solid">
          <fgColor rgb="FF5B9BD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B"/>
      <rgbColor rgb="FF7F6000"/>
      <rgbColor rgb="FF800080"/>
      <rgbColor rgb="FF008080"/>
      <rgbColor rgb="FFCCCCCC"/>
      <rgbColor rgb="FF5B9BD5"/>
      <rgbColor rgb="FF8EAADB"/>
      <rgbColor rgb="FFC0504D"/>
      <rgbColor rgb="FFFFF2CC"/>
      <rgbColor rgb="FFD9EAF7"/>
      <rgbColor rgb="FF660066"/>
      <rgbColor rgb="FFFF8080"/>
      <rgbColor rgb="FF2E5DA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AF4EA"/>
      <rgbColor rgb="FFEEF4FF"/>
      <rgbColor rgb="FF99CCFF"/>
      <rgbColor rgb="FFFF99CC"/>
      <rgbColor rgb="FFCC99FF"/>
      <rgbColor rgb="FFFCE4D6"/>
      <rgbColor rgb="FF3B6FB5"/>
      <rgbColor rgb="FF33CCCC"/>
      <rgbColor rgb="FF99CC00"/>
      <rgbColor rgb="FFFFCC00"/>
      <rgbColor rgb="FFFF9900"/>
      <rgbColor rgb="FFFF6600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"Було"</c:f>
              <c:strCache>
                <c:ptCount val="1"/>
                <c:pt idx="0">
                  <c:v>Було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DZ5_Risk!$G$3:$G$5</c:f>
              <c:strCache>
                <c:ptCount val="3"/>
                <c:pt idx="0">
                  <c:v>ALE</c:v>
                </c:pt>
                <c:pt idx="1">
                  <c:v>LEF</c:v>
                </c:pt>
                <c:pt idx="2">
                  <c:v>PLM</c:v>
                </c:pt>
              </c:strCache>
            </c:strRef>
          </c:cat>
          <c:val>
            <c:numRef>
              <c:f>DZ5_Risk!$H$3:$H$5</c:f>
              <c:numCache>
                <c:formatCode>General</c:formatCode>
                <c:ptCount val="3"/>
                <c:pt idx="0">
                  <c:v>112928571.428571</c:v>
                </c:pt>
                <c:pt idx="1">
                  <c:v>33.2142857142857</c:v>
                </c:pt>
                <c:pt idx="2">
                  <c:v>1500000</c:v>
                </c:pt>
              </c:numCache>
            </c:numRef>
          </c:val>
        </c:ser>
        <c:ser>
          <c:idx val="1"/>
          <c:order val="1"/>
          <c:tx>
            <c:strRef>
              <c:f>"Після контролів"</c:f>
              <c:strCache>
                <c:ptCount val="1"/>
                <c:pt idx="0">
                  <c:v>Після контролів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DZ5_Risk!$G$3:$G$5</c:f>
              <c:strCache>
                <c:ptCount val="3"/>
                <c:pt idx="0">
                  <c:v>ALE</c:v>
                </c:pt>
                <c:pt idx="1">
                  <c:v>LEF</c:v>
                </c:pt>
                <c:pt idx="2">
                  <c:v>PLM</c:v>
                </c:pt>
              </c:strCache>
            </c:strRef>
          </c:cat>
          <c:val>
            <c:numRef>
              <c:f>DZ5_Risk!$I$3:$I$5</c:f>
              <c:numCache>
                <c:formatCode>General</c:formatCode>
                <c:ptCount val="3"/>
                <c:pt idx="0">
                  <c:v>24703125.0011625</c:v>
                </c:pt>
                <c:pt idx="1">
                  <c:v>14.53125</c:v>
                </c:pt>
                <c:pt idx="2">
                  <c:v>900000</c:v>
                </c:pt>
              </c:numCache>
            </c:numRef>
          </c:val>
        </c:ser>
        <c:gapWidth val="150"/>
        <c:overlap val="0"/>
        <c:axId val="52663574"/>
        <c:axId val="71243662"/>
      </c:barChart>
      <c:catAx>
        <c:axId val="5266357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243662"/>
        <c:crosses val="autoZero"/>
        <c:auto val="1"/>
        <c:lblAlgn val="ctr"/>
        <c:lblOffset val="100"/>
        <c:noMultiLvlLbl val="0"/>
      </c:catAx>
      <c:valAx>
        <c:axId val="7124366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&quot; грн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6635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"грн"</c:f>
              <c:strCache>
                <c:ptCount val="1"/>
                <c:pt idx="0">
                  <c:v>грн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DZ5_Budget_RR!$E$4:$E$6</c:f>
              <c:strCache>
                <c:ptCount val="3"/>
                <c:pt idx="0">
                  <c:v>Початковий ALE</c:v>
                </c:pt>
                <c:pt idx="1">
                  <c:v>Residual ALE</c:v>
                </c:pt>
                <c:pt idx="2">
                  <c:v>Вартість контролів</c:v>
                </c:pt>
              </c:strCache>
            </c:strRef>
          </c:cat>
          <c:val>
            <c:numRef>
              <c:f>DZ5_Budget_RR!$F$4:$F$6</c:f>
              <c:numCache>
                <c:formatCode>General</c:formatCode>
                <c:ptCount val="3"/>
                <c:pt idx="0">
                  <c:v>112928571.428571</c:v>
                </c:pt>
                <c:pt idx="1">
                  <c:v>24703125.0011625</c:v>
                </c:pt>
                <c:pt idx="2">
                  <c:v>3099000</c:v>
                </c:pt>
              </c:numCache>
            </c:numRef>
          </c:val>
        </c:ser>
        <c:gapWidth val="150"/>
        <c:overlap val="0"/>
        <c:axId val="12154664"/>
        <c:axId val="53892665"/>
      </c:barChart>
      <c:catAx>
        <c:axId val="1215466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892665"/>
        <c:crosses val="autoZero"/>
        <c:auto val="1"/>
        <c:lblAlgn val="ctr"/>
        <c:lblOffset val="100"/>
        <c:noMultiLvlLbl val="0"/>
      </c:catAx>
      <c:valAx>
        <c:axId val="5389266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&quot; грн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1546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12</xdr:col>
      <xdr:colOff>601560</xdr:colOff>
      <xdr:row>21</xdr:row>
      <xdr:rowOff>190080</xdr:rowOff>
    </xdr:to>
    <xdr:graphicFrame>
      <xdr:nvGraphicFramePr>
        <xdr:cNvPr id="0" name="Chart"/>
        <xdr:cNvGraphicFramePr/>
      </xdr:nvGraphicFramePr>
      <xdr:xfrm>
        <a:off x="11879640" y="1143000"/>
        <a:ext cx="50670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10</xdr:col>
      <xdr:colOff>601560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11559600" y="1333440"/>
        <a:ext cx="6251760" cy="590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olsTable_DZ5" displayName="ControlsTable_DZ5" ref="A2:J13" headerRowCount="1" totalsRowCount="0" totalsRowShown="0">
  <tableColumns count="10">
    <tableColumn id="1" name="Загроза"/>
    <tableColumn id="2" name="Контроль"/>
    <tableColumn id="3" name="Категорія"/>
    <tableColumn id="4" name="Тип"/>
    <tableColumn id="5" name="Очікуваний ефект"/>
    <tableColumn id="6" name="Параметр FAIR"/>
    <tableColumn id="7" name="CF"/>
    <tableColumn id="8" name="База вартості"/>
    <tableColumn id="9" name="Річна вартість, грн"/>
    <tableColumn id="10" name="Джерело / припущення"/>
  </tableColumns>
</table>
</file>

<file path=xl/tables/table2.xml><?xml version="1.0" encoding="utf-8"?>
<table xmlns="http://schemas.openxmlformats.org/spreadsheetml/2006/main" id="2" name="RiskReassessment_DZ5" displayName="RiskReassessment_DZ5" ref="A2:E12" headerRowCount="1" totalsRowCount="0" totalsRowShown="0">
  <tableColumns count="5">
    <tableColumn id="1" name="Параметр FAIR"/>
    <tableColumn id="2" name="Було"/>
    <tableColumn id="3" name="Очікуване після контролів"/>
    <tableColumn id="4" name="Зміна"/>
    <tableColumn id="5" name="Пояснення"/>
  </tableColumns>
</tabl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4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9</v>
      </c>
      <c r="B5" s="6" t="n">
        <v>0.6</v>
      </c>
      <c r="C5" s="6" t="n">
        <v>0.75</v>
      </c>
      <c r="D5" s="6" t="n">
        <v>0.9</v>
      </c>
      <c r="E5" s="7" t="n">
        <f aca="false">(B5+4*C5+D5)/6</f>
        <v>0.75</v>
      </c>
      <c r="F5" s="8" t="s">
        <v>10</v>
      </c>
    </row>
    <row r="6" customFormat="false" ht="21.75" hidden="false" customHeight="true" outlineLevel="0" collapsed="false">
      <c r="A6" s="5" t="s">
        <v>11</v>
      </c>
      <c r="B6" s="6" t="n">
        <v>0.3</v>
      </c>
      <c r="C6" s="6" t="n">
        <v>0.4</v>
      </c>
      <c r="D6" s="6" t="n">
        <v>0.6</v>
      </c>
      <c r="E6" s="7" t="n">
        <f aca="false">(B6+4*C6+D6)/6</f>
        <v>0.416666666666667</v>
      </c>
      <c r="F6" s="8" t="s">
        <v>12</v>
      </c>
    </row>
    <row r="7" customFormat="false" ht="21.75" hidden="false" customHeight="true" outlineLevel="0" collapsed="false">
      <c r="A7" s="4" t="s">
        <v>13</v>
      </c>
      <c r="B7" s="4"/>
      <c r="C7" s="4"/>
      <c r="D7" s="4"/>
      <c r="E7" s="4"/>
      <c r="F7" s="4"/>
    </row>
    <row r="8" customFormat="false" ht="21.75" hidden="false" customHeight="true" outlineLevel="0" collapsed="false">
      <c r="A8" s="5" t="s">
        <v>14</v>
      </c>
      <c r="B8" s="9" t="n">
        <v>30</v>
      </c>
      <c r="C8" s="9" t="n">
        <v>50</v>
      </c>
      <c r="D8" s="9" t="n">
        <v>80</v>
      </c>
      <c r="E8" s="10" t="n">
        <f aca="false">(B8+4*C8+D8)/6</f>
        <v>51.6666666666667</v>
      </c>
      <c r="F8" s="8" t="s">
        <v>15</v>
      </c>
    </row>
    <row r="9" customFormat="false" ht="21.75" hidden="false" customHeight="true" outlineLevel="0" collapsed="false">
      <c r="A9" s="4" t="s">
        <v>16</v>
      </c>
      <c r="B9" s="4"/>
      <c r="C9" s="4"/>
      <c r="D9" s="4"/>
      <c r="E9" s="4"/>
      <c r="F9" s="4"/>
    </row>
    <row r="10" customFormat="false" ht="21.75" hidden="false" customHeight="true" outlineLevel="0" collapsed="false">
      <c r="A10" s="5" t="s">
        <v>17</v>
      </c>
      <c r="B10" s="9" t="n">
        <v>1000000</v>
      </c>
      <c r="C10" s="9" t="n">
        <v>1500000</v>
      </c>
      <c r="D10" s="9" t="n">
        <v>2000000</v>
      </c>
      <c r="E10" s="11" t="n">
        <f aca="false">(B10+4*C10+D10)/6</f>
        <v>1500000</v>
      </c>
      <c r="F10" s="8" t="s">
        <v>18</v>
      </c>
    </row>
    <row r="11" customFormat="false" ht="21.75" hidden="false" customHeight="true" outlineLevel="0" collapsed="false">
      <c r="A11" s="5" t="s">
        <v>19</v>
      </c>
      <c r="B11" s="6" t="n">
        <v>0.4</v>
      </c>
      <c r="C11" s="6" t="n">
        <v>0.6</v>
      </c>
      <c r="D11" s="6" t="n">
        <v>0.8</v>
      </c>
      <c r="E11" s="7" t="n">
        <f aca="false">(B11+4*C11+D11)/6</f>
        <v>0.6</v>
      </c>
      <c r="F11" s="8" t="s">
        <v>20</v>
      </c>
    </row>
    <row r="12" customFormat="false" ht="21.75" hidden="false" customHeight="true" outlineLevel="0" collapsed="false">
      <c r="A12" s="5" t="s">
        <v>21</v>
      </c>
      <c r="B12" s="9" t="n">
        <v>2000000</v>
      </c>
      <c r="C12" s="9" t="n">
        <v>3000000</v>
      </c>
      <c r="D12" s="9" t="n">
        <v>5000000</v>
      </c>
      <c r="E12" s="11" t="n">
        <f aca="false">(B12+4*C12+D12)/6</f>
        <v>3166666.66666667</v>
      </c>
      <c r="F12" s="8" t="s">
        <v>22</v>
      </c>
    </row>
    <row r="13" customFormat="false" ht="15" hidden="false" customHeight="false" outlineLevel="0" collapsed="false">
      <c r="A13" s="12" t="s">
        <v>23</v>
      </c>
      <c r="B13" s="12"/>
      <c r="C13" s="12"/>
      <c r="D13" s="12"/>
      <c r="E13" s="12"/>
      <c r="F13" s="12"/>
    </row>
  </sheetData>
  <mergeCells count="6">
    <mergeCell ref="A1:F1"/>
    <mergeCell ref="A2:F2"/>
    <mergeCell ref="A4:F4"/>
    <mergeCell ref="A7:F7"/>
    <mergeCell ref="A9:F9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45"/>
  </cols>
  <sheetData>
    <row r="1" customFormat="false" ht="39.75" hidden="false" customHeight="true" outlineLevel="0" collapsed="false">
      <c r="A1" s="1" t="s">
        <v>24</v>
      </c>
      <c r="B1" s="1"/>
      <c r="C1" s="1"/>
      <c r="D1" s="1"/>
    </row>
    <row r="2" customFormat="false" ht="19.5" hidden="false" customHeight="true" outlineLevel="0" collapsed="false">
      <c r="A2" s="2" t="s">
        <v>25</v>
      </c>
      <c r="B2" s="2"/>
      <c r="C2" s="2"/>
      <c r="D2" s="2"/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</row>
    <row r="4" customFormat="false" ht="21.75" hidden="false" customHeight="true" outlineLevel="0" collapsed="false">
      <c r="A4" s="4" t="s">
        <v>30</v>
      </c>
      <c r="B4" s="4"/>
      <c r="C4" s="4"/>
      <c r="D4" s="4"/>
    </row>
    <row r="5" customFormat="false" ht="24" hidden="false" customHeight="true" outlineLevel="0" collapsed="false">
      <c r="A5" s="5" t="s">
        <v>31</v>
      </c>
      <c r="B5" s="8" t="s">
        <v>32</v>
      </c>
      <c r="C5" s="13" t="n">
        <f aca="false">Inputs!E5</f>
        <v>0.75</v>
      </c>
      <c r="D5" s="8" t="s">
        <v>33</v>
      </c>
    </row>
    <row r="6" customFormat="false" ht="24" hidden="false" customHeight="true" outlineLevel="0" collapsed="false">
      <c r="A6" s="5" t="s">
        <v>34</v>
      </c>
      <c r="B6" s="8" t="s">
        <v>32</v>
      </c>
      <c r="C6" s="13" t="n">
        <f aca="false">Inputs!E6</f>
        <v>0.416666666666667</v>
      </c>
      <c r="D6" s="8" t="s">
        <v>35</v>
      </c>
    </row>
    <row r="7" customFormat="false" ht="24" hidden="false" customHeight="true" outlineLevel="0" collapsed="false">
      <c r="A7" s="5" t="s">
        <v>36</v>
      </c>
      <c r="B7" s="8" t="s">
        <v>32</v>
      </c>
      <c r="C7" s="13" t="n">
        <f aca="false">Inputs!E8</f>
        <v>51.6666666666667</v>
      </c>
      <c r="D7" s="8" t="s">
        <v>37</v>
      </c>
    </row>
    <row r="8" customFormat="false" ht="24" hidden="false" customHeight="true" outlineLevel="0" collapsed="false">
      <c r="A8" s="5" t="s">
        <v>38</v>
      </c>
      <c r="B8" s="8" t="s">
        <v>32</v>
      </c>
      <c r="C8" s="14" t="n">
        <f aca="false">Inputs!E10</f>
        <v>1500000</v>
      </c>
      <c r="D8" s="8" t="s">
        <v>39</v>
      </c>
    </row>
    <row r="9" customFormat="false" ht="24" hidden="false" customHeight="true" outlineLevel="0" collapsed="false">
      <c r="A9" s="5" t="s">
        <v>40</v>
      </c>
      <c r="B9" s="8" t="s">
        <v>32</v>
      </c>
      <c r="C9" s="13" t="n">
        <f aca="false">Inputs!E11</f>
        <v>0.6</v>
      </c>
      <c r="D9" s="8" t="s">
        <v>41</v>
      </c>
    </row>
    <row r="10" customFormat="false" ht="24" hidden="false" customHeight="true" outlineLevel="0" collapsed="false">
      <c r="A10" s="5" t="s">
        <v>42</v>
      </c>
      <c r="B10" s="8" t="s">
        <v>32</v>
      </c>
      <c r="C10" s="14" t="n">
        <f aca="false">Inputs!E12</f>
        <v>3166666.66666667</v>
      </c>
      <c r="D10" s="8" t="s">
        <v>43</v>
      </c>
    </row>
    <row r="11" customFormat="false" ht="24" hidden="false" customHeight="true" outlineLevel="0" collapsed="false">
      <c r="A11" s="4" t="s">
        <v>44</v>
      </c>
      <c r="B11" s="4"/>
      <c r="C11" s="4"/>
      <c r="D11" s="4"/>
    </row>
    <row r="12" customFormat="false" ht="27.75" hidden="false" customHeight="true" outlineLevel="0" collapsed="false">
      <c r="A12" s="15" t="s">
        <v>45</v>
      </c>
      <c r="B12" s="16" t="s">
        <v>46</v>
      </c>
      <c r="C12" s="17" t="n">
        <f aca="false">Inputs!E5/(Inputs!E5+Inputs!E6)</f>
        <v>0.642857142857143</v>
      </c>
      <c r="D12" s="16" t="s">
        <v>47</v>
      </c>
    </row>
    <row r="13" customFormat="false" ht="27.75" hidden="false" customHeight="true" outlineLevel="0" collapsed="false">
      <c r="A13" s="15" t="s">
        <v>48</v>
      </c>
      <c r="B13" s="16" t="s">
        <v>49</v>
      </c>
      <c r="C13" s="18" t="n">
        <f aca="false">Inputs!E8*C12</f>
        <v>33.2142857142857</v>
      </c>
      <c r="D13" s="16" t="s">
        <v>50</v>
      </c>
    </row>
    <row r="14" customFormat="false" ht="27.75" hidden="false" customHeight="true" outlineLevel="0" collapsed="false">
      <c r="A14" s="15" t="s">
        <v>51</v>
      </c>
      <c r="B14" s="16" t="s">
        <v>52</v>
      </c>
      <c r="C14" s="18" t="n">
        <f aca="false">C13*Inputs!E11</f>
        <v>19.9285714285714</v>
      </c>
      <c r="D14" s="16" t="s">
        <v>53</v>
      </c>
    </row>
    <row r="15" customFormat="false" ht="24" hidden="false" customHeight="true" outlineLevel="0" collapsed="false">
      <c r="A15" s="4" t="s">
        <v>54</v>
      </c>
      <c r="B15" s="4"/>
      <c r="C15" s="4"/>
      <c r="D15" s="4"/>
    </row>
    <row r="16" customFormat="false" ht="27.75" hidden="false" customHeight="true" outlineLevel="0" collapsed="false">
      <c r="A16" s="15" t="s">
        <v>55</v>
      </c>
      <c r="B16" s="16" t="s">
        <v>56</v>
      </c>
      <c r="C16" s="18" t="n">
        <f aca="false">C13</f>
        <v>33.2142857142857</v>
      </c>
      <c r="D16" s="16" t="s">
        <v>57</v>
      </c>
    </row>
    <row r="17" customFormat="false" ht="27.75" hidden="false" customHeight="true" outlineLevel="0" collapsed="false">
      <c r="A17" s="15" t="s">
        <v>58</v>
      </c>
      <c r="B17" s="16" t="s">
        <v>59</v>
      </c>
      <c r="C17" s="18" t="n">
        <f aca="false">C14</f>
        <v>19.9285714285714</v>
      </c>
      <c r="D17" s="16" t="s">
        <v>60</v>
      </c>
    </row>
    <row r="18" customFormat="false" ht="27.75" hidden="false" customHeight="true" outlineLevel="0" collapsed="false">
      <c r="A18" s="15" t="s">
        <v>61</v>
      </c>
      <c r="B18" s="16" t="s">
        <v>62</v>
      </c>
      <c r="C18" s="19" t="n">
        <f aca="false">(C16*Inputs!E10)+(C17*Inputs!E12)</f>
        <v>112928571.428571</v>
      </c>
      <c r="D18" s="16" t="s">
        <v>63</v>
      </c>
    </row>
    <row r="19" customFormat="false" ht="24" hidden="false" customHeight="true" outlineLevel="0" collapsed="false">
      <c r="A19" s="4" t="s">
        <v>64</v>
      </c>
      <c r="B19" s="4"/>
      <c r="C19" s="4"/>
      <c r="D19" s="4"/>
    </row>
    <row r="20" customFormat="false" ht="27.75" hidden="false" customHeight="true" outlineLevel="0" collapsed="false">
      <c r="A20" s="20" t="s">
        <v>65</v>
      </c>
      <c r="B20" s="21" t="s">
        <v>66</v>
      </c>
      <c r="C20" s="22" t="n">
        <f aca="false">C18</f>
        <v>112928571.428571</v>
      </c>
      <c r="D20" s="21" t="s">
        <v>67</v>
      </c>
    </row>
    <row r="21" customFormat="false" ht="24" hidden="false" customHeight="true" outlineLevel="0" collapsed="false"/>
    <row r="22" customFormat="false" ht="24" hidden="false" customHeight="true" outlineLevel="0" collapsed="false">
      <c r="A22" s="4" t="s">
        <v>68</v>
      </c>
      <c r="B22" s="4"/>
      <c r="C22" s="4"/>
      <c r="D22" s="4"/>
    </row>
    <row r="23" customFormat="false" ht="180" hidden="false" customHeight="true" outlineLevel="0" collapsed="false">
      <c r="A23" s="23" t="s">
        <v>69</v>
      </c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  <row r="29" customFormat="false" ht="15" hidden="false" customHeight="false" outlineLevel="0" collapsed="false">
      <c r="A29" s="23"/>
      <c r="B29" s="23"/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3"/>
      <c r="B31" s="23"/>
      <c r="C31" s="23"/>
      <c r="D31" s="23"/>
    </row>
    <row r="32" customFormat="false" ht="15" hidden="false" customHeight="false" outlineLevel="0" collapsed="false">
      <c r="A32" s="23"/>
      <c r="B32" s="23"/>
      <c r="C32" s="23"/>
      <c r="D32" s="23"/>
    </row>
  </sheetData>
  <mergeCells count="8">
    <mergeCell ref="A1:D1"/>
    <mergeCell ref="A2:D2"/>
    <mergeCell ref="A4:D4"/>
    <mergeCell ref="A11:D11"/>
    <mergeCell ref="A15:D15"/>
    <mergeCell ref="A19:D19"/>
    <mergeCell ref="A22:D22"/>
    <mergeCell ref="A23:D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0" activeCellId="0" sqref="D2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4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4" t="s">
        <v>70</v>
      </c>
      <c r="B1" s="24"/>
      <c r="C1" s="24"/>
      <c r="D1" s="24"/>
      <c r="E1" s="24"/>
    </row>
    <row r="2" customFormat="false" ht="15" hidden="false" customHeight="true" outlineLevel="0" collapsed="false">
      <c r="A2" s="25" t="s">
        <v>71</v>
      </c>
      <c r="B2" s="25"/>
      <c r="C2" s="25"/>
      <c r="D2" s="25"/>
      <c r="E2" s="25"/>
    </row>
    <row r="4" customFormat="false" ht="15" hidden="false" customHeight="false" outlineLevel="0" collapsed="false">
      <c r="A4" s="26" t="s">
        <v>2</v>
      </c>
      <c r="B4" s="26" t="s">
        <v>28</v>
      </c>
      <c r="C4" s="26" t="s">
        <v>72</v>
      </c>
    </row>
    <row r="5" customFormat="false" ht="15" hidden="false" customHeight="false" outlineLevel="0" collapsed="false">
      <c r="A5" s="0" t="s">
        <v>73</v>
      </c>
      <c r="B5" s="27" t="n">
        <v>40</v>
      </c>
      <c r="C5" s="0" t="s">
        <v>74</v>
      </c>
    </row>
    <row r="6" customFormat="false" ht="15" hidden="false" customHeight="false" outlineLevel="0" collapsed="false">
      <c r="A6" s="0" t="s">
        <v>75</v>
      </c>
      <c r="B6" s="27" t="n">
        <v>250</v>
      </c>
      <c r="C6" s="0" t="s">
        <v>76</v>
      </c>
    </row>
    <row r="7" customFormat="false" ht="15" hidden="false" customHeight="false" outlineLevel="0" collapsed="false">
      <c r="A7" s="0" t="s">
        <v>77</v>
      </c>
      <c r="B7" s="27" t="n">
        <v>250</v>
      </c>
      <c r="C7" s="0" t="s">
        <v>78</v>
      </c>
    </row>
    <row r="8" customFormat="false" ht="15" hidden="false" customHeight="false" outlineLevel="0" collapsed="false">
      <c r="A8" s="0" t="s">
        <v>79</v>
      </c>
      <c r="B8" s="27" t="n">
        <v>50</v>
      </c>
      <c r="C8" s="0" t="s">
        <v>80</v>
      </c>
    </row>
    <row r="9" customFormat="false" ht="15" hidden="false" customHeight="false" outlineLevel="0" collapsed="false">
      <c r="A9" s="0" t="s">
        <v>81</v>
      </c>
      <c r="B9" s="27" t="n">
        <v>100</v>
      </c>
      <c r="C9" s="0" t="s">
        <v>80</v>
      </c>
    </row>
    <row r="10" customFormat="false" ht="15" hidden="false" customHeight="false" outlineLevel="0" collapsed="false">
      <c r="A10" s="0" t="s">
        <v>82</v>
      </c>
      <c r="B10" s="28" t="n">
        <v>0.4</v>
      </c>
      <c r="C10" s="0" t="s">
        <v>83</v>
      </c>
    </row>
    <row r="11" customFormat="false" ht="15" hidden="false" customHeight="false" outlineLevel="0" collapsed="false">
      <c r="A11" s="0" t="s">
        <v>84</v>
      </c>
      <c r="B11" s="29" t="n">
        <v>2.04</v>
      </c>
      <c r="C11" s="0" t="s">
        <v>85</v>
      </c>
    </row>
    <row r="12" customFormat="false" ht="15" hidden="false" customHeight="false" outlineLevel="0" collapsed="false">
      <c r="A12" s="0" t="s">
        <v>86</v>
      </c>
      <c r="B12" s="29" t="n">
        <v>0.4</v>
      </c>
      <c r="C12" s="0" t="s">
        <v>87</v>
      </c>
    </row>
    <row r="14" customFormat="false" ht="15" hidden="false" customHeight="false" outlineLevel="0" collapsed="false">
      <c r="A14" s="26" t="s">
        <v>88</v>
      </c>
      <c r="B14" s="26" t="s">
        <v>89</v>
      </c>
      <c r="C14" s="26" t="s">
        <v>90</v>
      </c>
      <c r="D14" s="26" t="s">
        <v>91</v>
      </c>
    </row>
    <row r="15" customFormat="false" ht="15" hidden="false" customHeight="false" outlineLevel="0" collapsed="false">
      <c r="A15" s="30" t="s">
        <v>92</v>
      </c>
      <c r="B15" s="30" t="s">
        <v>93</v>
      </c>
      <c r="C15" s="30" t="s">
        <v>94</v>
      </c>
      <c r="D15" s="30" t="s">
        <v>95</v>
      </c>
    </row>
    <row r="16" customFormat="false" ht="15" hidden="false" customHeight="false" outlineLevel="0" collapsed="false">
      <c r="A16" s="30" t="s">
        <v>96</v>
      </c>
      <c r="B16" s="30" t="s">
        <v>97</v>
      </c>
      <c r="C16" s="30" t="s">
        <v>98</v>
      </c>
      <c r="D16" s="30" t="s">
        <v>99</v>
      </c>
    </row>
    <row r="17" customFormat="false" ht="15" hidden="false" customHeight="false" outlineLevel="0" collapsed="false">
      <c r="A17" s="30" t="s">
        <v>100</v>
      </c>
      <c r="B17" s="30" t="s">
        <v>101</v>
      </c>
      <c r="C17" s="30" t="s">
        <v>102</v>
      </c>
      <c r="D17" s="30" t="s">
        <v>103</v>
      </c>
    </row>
    <row r="18" customFormat="false" ht="15" hidden="false" customHeight="false" outlineLevel="0" collapsed="false">
      <c r="A18" s="30" t="s">
        <v>104</v>
      </c>
      <c r="B18" s="30" t="s">
        <v>105</v>
      </c>
      <c r="C18" s="30" t="s">
        <v>106</v>
      </c>
      <c r="D18" s="30" t="s">
        <v>107</v>
      </c>
    </row>
    <row r="19" customFormat="false" ht="15" hidden="false" customHeight="false" outlineLevel="0" collapsed="false">
      <c r="A19" s="30" t="s">
        <v>108</v>
      </c>
      <c r="B19" s="30" t="s">
        <v>109</v>
      </c>
      <c r="C19" s="30" t="s">
        <v>110</v>
      </c>
      <c r="D19" s="30" t="s">
        <v>111</v>
      </c>
    </row>
    <row r="20" customFormat="false" ht="15" hidden="false" customHeight="false" outlineLevel="0" collapsed="false">
      <c r="A20" s="30" t="s">
        <v>112</v>
      </c>
      <c r="B20" s="30" t="s">
        <v>113</v>
      </c>
      <c r="C20" s="30" t="s">
        <v>114</v>
      </c>
      <c r="D20" s="30" t="s">
        <v>115</v>
      </c>
    </row>
    <row r="21" customFormat="false" ht="15" hidden="false" customHeight="false" outlineLevel="0" collapsed="false">
      <c r="A21" s="30" t="s">
        <v>116</v>
      </c>
      <c r="B21" s="30" t="s">
        <v>117</v>
      </c>
      <c r="C21" s="30" t="s">
        <v>118</v>
      </c>
      <c r="D21" s="30" t="s">
        <v>119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7" activeCellId="0" sqref="A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24" t="s">
        <v>120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" hidden="false" customHeight="false" outlineLevel="0" collapsed="false">
      <c r="A2" s="26" t="s">
        <v>121</v>
      </c>
      <c r="B2" s="26" t="s">
        <v>122</v>
      </c>
      <c r="C2" s="26" t="s">
        <v>123</v>
      </c>
      <c r="D2" s="26" t="s">
        <v>124</v>
      </c>
      <c r="E2" s="26" t="s">
        <v>125</v>
      </c>
      <c r="F2" s="26" t="s">
        <v>126</v>
      </c>
      <c r="G2" s="26" t="s">
        <v>127</v>
      </c>
      <c r="H2" s="26" t="s">
        <v>128</v>
      </c>
      <c r="I2" s="26" t="s">
        <v>129</v>
      </c>
      <c r="J2" s="26" t="s">
        <v>130</v>
      </c>
    </row>
    <row r="3" customFormat="false" ht="15" hidden="false" customHeight="false" outlineLevel="0" collapsed="false">
      <c r="A3" s="30" t="s">
        <v>131</v>
      </c>
      <c r="B3" s="30" t="s">
        <v>132</v>
      </c>
      <c r="C3" s="30" t="s">
        <v>133</v>
      </c>
      <c r="D3" s="30" t="s">
        <v>134</v>
      </c>
      <c r="E3" s="30" t="s">
        <v>135</v>
      </c>
      <c r="F3" s="30" t="s">
        <v>136</v>
      </c>
      <c r="G3" s="31" t="n">
        <v>0.22</v>
      </c>
      <c r="H3" s="30" t="s">
        <v>137</v>
      </c>
      <c r="I3" s="32" t="n">
        <f aca="false">DZ5_Assumptions!$B$6*6*12*DZ5_Assumptions!$B$5</f>
        <v>720000</v>
      </c>
      <c r="J3" s="30" t="s">
        <v>138</v>
      </c>
    </row>
    <row r="4" customFormat="false" ht="15" hidden="false" customHeight="false" outlineLevel="0" collapsed="false">
      <c r="A4" s="30" t="s">
        <v>131</v>
      </c>
      <c r="B4" s="30" t="s">
        <v>139</v>
      </c>
      <c r="C4" s="30" t="s">
        <v>133</v>
      </c>
      <c r="D4" s="30" t="s">
        <v>140</v>
      </c>
      <c r="E4" s="30" t="s">
        <v>141</v>
      </c>
      <c r="F4" s="30" t="s">
        <v>142</v>
      </c>
      <c r="G4" s="31" t="n">
        <v>0.12</v>
      </c>
      <c r="H4" s="30" t="s">
        <v>143</v>
      </c>
      <c r="I4" s="32" t="n">
        <f aca="false">80000</f>
        <v>80000</v>
      </c>
      <c r="J4" s="30" t="s">
        <v>144</v>
      </c>
    </row>
    <row r="5" customFormat="false" ht="15" hidden="false" customHeight="false" outlineLevel="0" collapsed="false">
      <c r="A5" s="30" t="s">
        <v>131</v>
      </c>
      <c r="B5" s="30" t="s">
        <v>145</v>
      </c>
      <c r="C5" s="30" t="s">
        <v>133</v>
      </c>
      <c r="D5" s="30" t="s">
        <v>140</v>
      </c>
      <c r="E5" s="30" t="s">
        <v>146</v>
      </c>
      <c r="F5" s="30" t="s">
        <v>147</v>
      </c>
      <c r="G5" s="31" t="n">
        <v>0.1</v>
      </c>
      <c r="H5" s="30" t="s">
        <v>143</v>
      </c>
      <c r="I5" s="32" t="n">
        <f aca="false">120000</f>
        <v>120000</v>
      </c>
      <c r="J5" s="30" t="s">
        <v>144</v>
      </c>
    </row>
    <row r="6" customFormat="false" ht="15" hidden="false" customHeight="false" outlineLevel="0" collapsed="false">
      <c r="A6" s="30" t="s">
        <v>131</v>
      </c>
      <c r="B6" s="30" t="s">
        <v>148</v>
      </c>
      <c r="C6" s="30" t="s">
        <v>133</v>
      </c>
      <c r="D6" s="30" t="s">
        <v>134</v>
      </c>
      <c r="E6" s="30" t="s">
        <v>149</v>
      </c>
      <c r="F6" s="30" t="s">
        <v>150</v>
      </c>
      <c r="G6" s="31" t="n">
        <v>0.18</v>
      </c>
      <c r="H6" s="30" t="s">
        <v>151</v>
      </c>
      <c r="I6" s="32" t="n">
        <f aca="false">((5+10*1+0.6*DZ5_Assumptions!$B$9)*12*DZ5_Assumptions!$B$5)+150000</f>
        <v>186000</v>
      </c>
      <c r="J6" s="30" t="s">
        <v>100</v>
      </c>
    </row>
    <row r="7" customFormat="false" ht="15" hidden="false" customHeight="false" outlineLevel="0" collapsed="false">
      <c r="A7" s="30" t="s">
        <v>131</v>
      </c>
      <c r="B7" s="30" t="s">
        <v>152</v>
      </c>
      <c r="C7" s="30" t="s">
        <v>133</v>
      </c>
      <c r="D7" s="30" t="s">
        <v>134</v>
      </c>
      <c r="E7" s="30" t="s">
        <v>153</v>
      </c>
      <c r="F7" s="30" t="s">
        <v>154</v>
      </c>
      <c r="G7" s="31" t="n">
        <v>0.18</v>
      </c>
      <c r="H7" s="30" t="s">
        <v>143</v>
      </c>
      <c r="I7" s="32" t="n">
        <f aca="false">250000</f>
        <v>250000</v>
      </c>
      <c r="J7" s="30" t="s">
        <v>144</v>
      </c>
    </row>
    <row r="8" customFormat="false" ht="15" hidden="false" customHeight="false" outlineLevel="0" collapsed="false">
      <c r="A8" s="30" t="s">
        <v>131</v>
      </c>
      <c r="B8" s="30" t="s">
        <v>155</v>
      </c>
      <c r="C8" s="30" t="s">
        <v>156</v>
      </c>
      <c r="D8" s="30" t="s">
        <v>134</v>
      </c>
      <c r="E8" s="30" t="s">
        <v>157</v>
      </c>
      <c r="F8" s="30" t="s">
        <v>154</v>
      </c>
      <c r="G8" s="31" t="n">
        <v>0.15</v>
      </c>
      <c r="H8" s="30" t="s">
        <v>158</v>
      </c>
      <c r="I8" s="32" t="n">
        <f aca="false">(DZ5_Assumptions!$B$8*365*0.1*DZ5_Assumptions!$B$5)+300000</f>
        <v>373000</v>
      </c>
      <c r="J8" s="30" t="s">
        <v>159</v>
      </c>
    </row>
    <row r="9" customFormat="false" ht="15" hidden="false" customHeight="false" outlineLevel="0" collapsed="false">
      <c r="A9" s="30" t="s">
        <v>131</v>
      </c>
      <c r="B9" s="30" t="s">
        <v>160</v>
      </c>
      <c r="C9" s="30" t="s">
        <v>156</v>
      </c>
      <c r="D9" s="30" t="s">
        <v>134</v>
      </c>
      <c r="E9" s="30" t="s">
        <v>161</v>
      </c>
      <c r="F9" s="30" t="s">
        <v>162</v>
      </c>
      <c r="G9" s="31" t="n">
        <v>0.16</v>
      </c>
      <c r="H9" s="30" t="s">
        <v>163</v>
      </c>
      <c r="I9" s="32" t="n">
        <f aca="false">DZ5_Assumptions!$B$7*5*12*DZ5_Assumptions!$B$5+200000</f>
        <v>800000</v>
      </c>
      <c r="J9" s="30" t="s">
        <v>164</v>
      </c>
    </row>
    <row r="10" customFormat="false" ht="15" hidden="false" customHeight="false" outlineLevel="0" collapsed="false">
      <c r="A10" s="30" t="s">
        <v>131</v>
      </c>
      <c r="B10" s="30" t="s">
        <v>165</v>
      </c>
      <c r="C10" s="30" t="s">
        <v>166</v>
      </c>
      <c r="D10" s="30" t="s">
        <v>140</v>
      </c>
      <c r="E10" s="30" t="s">
        <v>167</v>
      </c>
      <c r="F10" s="30" t="s">
        <v>168</v>
      </c>
      <c r="G10" s="31" t="n">
        <v>0.1</v>
      </c>
      <c r="H10" s="30" t="s">
        <v>143</v>
      </c>
      <c r="I10" s="32" t="n">
        <f aca="false">100000</f>
        <v>100000</v>
      </c>
      <c r="J10" s="30" t="s">
        <v>144</v>
      </c>
    </row>
    <row r="11" customFormat="false" ht="15" hidden="false" customHeight="false" outlineLevel="0" collapsed="false">
      <c r="A11" s="30" t="s">
        <v>131</v>
      </c>
      <c r="B11" s="30" t="s">
        <v>169</v>
      </c>
      <c r="C11" s="30" t="s">
        <v>166</v>
      </c>
      <c r="D11" s="30" t="s">
        <v>134</v>
      </c>
      <c r="E11" s="30" t="s">
        <v>170</v>
      </c>
      <c r="F11" s="30" t="s">
        <v>154</v>
      </c>
      <c r="G11" s="31" t="n">
        <v>0.11</v>
      </c>
      <c r="H11" s="30" t="s">
        <v>143</v>
      </c>
      <c r="I11" s="32" t="n">
        <f aca="false">220000</f>
        <v>220000</v>
      </c>
      <c r="J11" s="30" t="s">
        <v>171</v>
      </c>
    </row>
    <row r="12" customFormat="false" ht="15" hidden="false" customHeight="false" outlineLevel="0" collapsed="false">
      <c r="A12" s="30" t="s">
        <v>131</v>
      </c>
      <c r="B12" s="30" t="s">
        <v>172</v>
      </c>
      <c r="C12" s="30" t="s">
        <v>133</v>
      </c>
      <c r="D12" s="30" t="s">
        <v>173</v>
      </c>
      <c r="E12" s="30" t="s">
        <v>174</v>
      </c>
      <c r="F12" s="30" t="s">
        <v>136</v>
      </c>
      <c r="G12" s="31" t="n">
        <v>0.05</v>
      </c>
      <c r="H12" s="30" t="s">
        <v>143</v>
      </c>
      <c r="I12" s="32" t="n">
        <f aca="false">150000</f>
        <v>150000</v>
      </c>
      <c r="J12" s="30" t="s">
        <v>144</v>
      </c>
    </row>
    <row r="13" customFormat="false" ht="15" hidden="false" customHeight="false" outlineLevel="0" collapsed="false">
      <c r="A13" s="30" t="s">
        <v>131</v>
      </c>
      <c r="B13" s="30" t="s">
        <v>175</v>
      </c>
      <c r="C13" s="30" t="s">
        <v>156</v>
      </c>
      <c r="D13" s="30" t="s">
        <v>173</v>
      </c>
      <c r="E13" s="30" t="s">
        <v>176</v>
      </c>
      <c r="F13" s="30" t="s">
        <v>168</v>
      </c>
      <c r="G13" s="31" t="n">
        <v>0.04</v>
      </c>
      <c r="H13" s="30" t="s">
        <v>143</v>
      </c>
      <c r="I13" s="32" t="n">
        <f aca="false">100000</f>
        <v>100000</v>
      </c>
      <c r="J13" s="30" t="s">
        <v>144</v>
      </c>
    </row>
  </sheetData>
  <mergeCells count="1">
    <mergeCell ref="A1:J1"/>
  </mergeCells>
  <dataValidations count="2">
    <dataValidation allowBlank="false" errorStyle="stop" operator="between" showDropDown="false" showErrorMessage="false" showInputMessage="false" sqref="C3:C13" type="list">
      <formula1>"Запобігання,Виявлення,Відновлення"</formula1>
      <formula2>0</formula2>
    </dataValidation>
    <dataValidation allowBlank="false" errorStyle="stop" operator="between" showDropDown="false" showErrorMessage="false" showInputMessage="false" sqref="D3:D13" type="list">
      <formula1>"Технічний,Адміністративний,Фізичний"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3" activeCellId="0" sqref="H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64"/>
    <col collapsed="false" customWidth="true" hidden="false" outlineLevel="0" max="8" min="8" style="0" width="13.73"/>
    <col collapsed="false" customWidth="true" hidden="false" outlineLevel="0" max="9" min="9" style="0" width="15.46"/>
  </cols>
  <sheetData>
    <row r="1" customFormat="false" ht="15" hidden="false" customHeight="false" outlineLevel="0" collapsed="false">
      <c r="A1" s="24" t="s">
        <v>177</v>
      </c>
      <c r="B1" s="24"/>
      <c r="C1" s="24"/>
      <c r="D1" s="24"/>
      <c r="E1" s="24"/>
    </row>
    <row r="2" customFormat="false" ht="15" hidden="false" customHeight="false" outlineLevel="0" collapsed="false">
      <c r="A2" s="26" t="s">
        <v>126</v>
      </c>
      <c r="B2" s="26" t="s">
        <v>178</v>
      </c>
      <c r="C2" s="26" t="s">
        <v>179</v>
      </c>
      <c r="D2" s="26" t="s">
        <v>180</v>
      </c>
      <c r="E2" s="26" t="s">
        <v>72</v>
      </c>
      <c r="G2" s="26" t="s">
        <v>26</v>
      </c>
      <c r="H2" s="26" t="s">
        <v>178</v>
      </c>
      <c r="I2" s="26" t="s">
        <v>181</v>
      </c>
    </row>
    <row r="3" customFormat="false" ht="15" hidden="false" customHeight="false" outlineLevel="0" collapsed="false">
      <c r="A3" s="30" t="s">
        <v>9</v>
      </c>
      <c r="B3" s="33" t="n">
        <f aca="false">Inputs!E5</f>
        <v>0.75</v>
      </c>
      <c r="C3" s="33" t="n">
        <f aca="false">B3</f>
        <v>0.75</v>
      </c>
      <c r="D3" s="33" t="n">
        <f aca="false">C3-B3</f>
        <v>0</v>
      </c>
      <c r="E3" s="30" t="s">
        <v>182</v>
      </c>
      <c r="G3" s="0" t="s">
        <v>183</v>
      </c>
      <c r="H3" s="34" t="n">
        <f aca="false">B12</f>
        <v>112928571.428571</v>
      </c>
      <c r="I3" s="34" t="n">
        <f aca="false">C12</f>
        <v>24703125.0011625</v>
      </c>
    </row>
    <row r="4" customFormat="false" ht="15" hidden="false" customHeight="false" outlineLevel="0" collapsed="false">
      <c r="A4" s="30" t="s">
        <v>11</v>
      </c>
      <c r="B4" s="33" t="n">
        <f aca="false">Inputs!E6</f>
        <v>0.416666666666667</v>
      </c>
      <c r="C4" s="33" t="n">
        <f aca="false">MIN(1,B4*DZ5_Assumptions!$B$11)</f>
        <v>0.85</v>
      </c>
      <c r="D4" s="33" t="n">
        <f aca="false">C4-B4</f>
        <v>0.433333333333333</v>
      </c>
      <c r="E4" s="30" t="s">
        <v>184</v>
      </c>
      <c r="G4" s="0" t="s">
        <v>185</v>
      </c>
      <c r="H4" s="28" t="n">
        <f aca="false">B7</f>
        <v>33.2142857142857</v>
      </c>
      <c r="I4" s="28" t="n">
        <f aca="false">C7</f>
        <v>14.53125</v>
      </c>
    </row>
    <row r="5" customFormat="false" ht="15" hidden="false" customHeight="false" outlineLevel="0" collapsed="false">
      <c r="A5" s="30" t="s">
        <v>45</v>
      </c>
      <c r="B5" s="33" t="n">
        <f aca="false">B3/(B3+B4)</f>
        <v>0.642857142857143</v>
      </c>
      <c r="C5" s="33" t="n">
        <f aca="false">C3/(C3+C4)</f>
        <v>0.46875</v>
      </c>
      <c r="D5" s="33" t="n">
        <f aca="false">C5-B5</f>
        <v>-0.174107142857143</v>
      </c>
      <c r="E5" s="30" t="s">
        <v>186</v>
      </c>
      <c r="G5" s="0" t="s">
        <v>187</v>
      </c>
      <c r="H5" s="34" t="n">
        <f aca="false">B8</f>
        <v>1500000</v>
      </c>
      <c r="I5" s="34" t="n">
        <f aca="false">C8</f>
        <v>900000</v>
      </c>
    </row>
    <row r="6" customFormat="false" ht="15" hidden="false" customHeight="false" outlineLevel="0" collapsed="false">
      <c r="A6" s="30" t="s">
        <v>14</v>
      </c>
      <c r="B6" s="33" t="n">
        <f aca="false">Inputs!E8</f>
        <v>51.6666666666667</v>
      </c>
      <c r="C6" s="33" t="n">
        <f aca="false">B6*(1-DZ5_Assumptions!$B$10)</f>
        <v>31</v>
      </c>
      <c r="D6" s="33" t="n">
        <f aca="false">C6-B6</f>
        <v>-20.6666666666667</v>
      </c>
      <c r="E6" s="30" t="s">
        <v>188</v>
      </c>
    </row>
    <row r="7" customFormat="false" ht="15" hidden="false" customHeight="false" outlineLevel="0" collapsed="false">
      <c r="A7" s="30" t="s">
        <v>48</v>
      </c>
      <c r="B7" s="33" t="n">
        <f aca="false">B6*B5</f>
        <v>33.2142857142857</v>
      </c>
      <c r="C7" s="33" t="n">
        <f aca="false">C6*C5</f>
        <v>14.53125</v>
      </c>
      <c r="D7" s="33" t="n">
        <f aca="false">C7-B7</f>
        <v>-18.6830357142857</v>
      </c>
      <c r="E7" s="30" t="s">
        <v>189</v>
      </c>
    </row>
    <row r="8" customFormat="false" ht="15" hidden="false" customHeight="false" outlineLevel="0" collapsed="false">
      <c r="A8" s="30" t="s">
        <v>17</v>
      </c>
      <c r="B8" s="32" t="n">
        <f aca="false">Inputs!E10</f>
        <v>1500000</v>
      </c>
      <c r="C8" s="32" t="n">
        <f aca="false">B8*(1-DZ5_Assumptions!$B$12)</f>
        <v>900000</v>
      </c>
      <c r="D8" s="32" t="n">
        <f aca="false">C8-B8</f>
        <v>-600000</v>
      </c>
      <c r="E8" s="30" t="s">
        <v>190</v>
      </c>
    </row>
    <row r="9" customFormat="false" ht="15" hidden="false" customHeight="false" outlineLevel="0" collapsed="false">
      <c r="A9" s="30" t="s">
        <v>19</v>
      </c>
      <c r="B9" s="31" t="n">
        <f aca="false">Inputs!E11</f>
        <v>0.6</v>
      </c>
      <c r="C9" s="31" t="n">
        <f aca="false">B9*(1-0.3333333333)</f>
        <v>0.40000000002</v>
      </c>
      <c r="D9" s="31" t="n">
        <f aca="false">C9-B9</f>
        <v>-0.19999999998</v>
      </c>
      <c r="E9" s="30" t="s">
        <v>191</v>
      </c>
    </row>
    <row r="10" customFormat="false" ht="15" hidden="false" customHeight="false" outlineLevel="0" collapsed="false">
      <c r="A10" s="30" t="s">
        <v>21</v>
      </c>
      <c r="B10" s="32" t="n">
        <f aca="false">Inputs!E12</f>
        <v>3166666.66666667</v>
      </c>
      <c r="C10" s="32" t="n">
        <f aca="false">B10*(1-0.3684210526)</f>
        <v>2000000.0001</v>
      </c>
      <c r="D10" s="32" t="n">
        <f aca="false">C10-B10</f>
        <v>-1166666.66656667</v>
      </c>
      <c r="E10" s="30" t="s">
        <v>192</v>
      </c>
    </row>
    <row r="11" customFormat="false" ht="15" hidden="false" customHeight="false" outlineLevel="0" collapsed="false">
      <c r="A11" s="30" t="s">
        <v>193</v>
      </c>
      <c r="B11" s="33" t="n">
        <f aca="false">B7*B9</f>
        <v>19.9285714285714</v>
      </c>
      <c r="C11" s="33" t="n">
        <f aca="false">C7*C9</f>
        <v>5.81250000029062</v>
      </c>
      <c r="D11" s="33" t="n">
        <f aca="false">C11-B11</f>
        <v>-14.1160714282808</v>
      </c>
      <c r="E11" s="30" t="s">
        <v>194</v>
      </c>
    </row>
    <row r="12" customFormat="false" ht="15" hidden="false" customHeight="false" outlineLevel="0" collapsed="false">
      <c r="A12" s="30" t="s">
        <v>195</v>
      </c>
      <c r="B12" s="32" t="n">
        <f aca="false">B7*B8+B11*B10</f>
        <v>112928571.428571</v>
      </c>
      <c r="C12" s="32" t="n">
        <f aca="false">C7*C8+C11*C10</f>
        <v>24703125.0011625</v>
      </c>
      <c r="D12" s="32" t="n">
        <f aca="false">C12-B12</f>
        <v>-88225446.4274089</v>
      </c>
      <c r="E12" s="30" t="s">
        <v>196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7" activeCellId="0" sqref="B1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6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24" t="s">
        <v>197</v>
      </c>
      <c r="B1" s="24"/>
      <c r="C1" s="24"/>
      <c r="D1" s="24"/>
      <c r="E1" s="24"/>
    </row>
    <row r="3" customFormat="false" ht="15" hidden="false" customHeight="false" outlineLevel="0" collapsed="false">
      <c r="A3" s="26" t="s">
        <v>26</v>
      </c>
      <c r="B3" s="26" t="s">
        <v>28</v>
      </c>
      <c r="C3" s="26" t="s">
        <v>198</v>
      </c>
      <c r="E3" s="26" t="s">
        <v>26</v>
      </c>
      <c r="F3" s="26" t="s">
        <v>199</v>
      </c>
    </row>
    <row r="4" customFormat="false" ht="15" hidden="false" customHeight="false" outlineLevel="0" collapsed="false">
      <c r="A4" s="30" t="s">
        <v>200</v>
      </c>
      <c r="B4" s="32" t="n">
        <f aca="false">DZ5_Risk!B12</f>
        <v>112928571.428571</v>
      </c>
      <c r="C4" s="30" t="s">
        <v>201</v>
      </c>
      <c r="E4" s="0" t="s">
        <v>202</v>
      </c>
      <c r="F4" s="34" t="n">
        <f aca="false">B4</f>
        <v>112928571.428571</v>
      </c>
    </row>
    <row r="5" customFormat="false" ht="15" hidden="false" customHeight="false" outlineLevel="0" collapsed="false">
      <c r="A5" s="30" t="s">
        <v>203</v>
      </c>
      <c r="B5" s="32" t="n">
        <f aca="false">DZ5_Risk!C12</f>
        <v>24703125.0011625</v>
      </c>
      <c r="C5" s="30" t="s">
        <v>204</v>
      </c>
      <c r="E5" s="0" t="s">
        <v>205</v>
      </c>
      <c r="F5" s="34" t="n">
        <f aca="false">B5</f>
        <v>24703125.0011625</v>
      </c>
    </row>
    <row r="6" customFormat="false" ht="15" hidden="false" customHeight="false" outlineLevel="0" collapsed="false">
      <c r="A6" s="30" t="s">
        <v>206</v>
      </c>
      <c r="B6" s="32" t="n">
        <f aca="false">SUM(DZ5_Controls!I3:I13)</f>
        <v>3099000</v>
      </c>
      <c r="C6" s="30" t="s">
        <v>207</v>
      </c>
      <c r="E6" s="0" t="s">
        <v>208</v>
      </c>
      <c r="F6" s="34" t="n">
        <f aca="false">B6</f>
        <v>3099000</v>
      </c>
    </row>
    <row r="7" customFormat="false" ht="15" hidden="false" customHeight="false" outlineLevel="0" collapsed="false">
      <c r="A7" s="30" t="s">
        <v>209</v>
      </c>
      <c r="B7" s="32" t="n">
        <f aca="false">B4-B5</f>
        <v>88225446.4274089</v>
      </c>
      <c r="C7" s="30" t="s">
        <v>210</v>
      </c>
    </row>
    <row r="8" customFormat="false" ht="15" hidden="false" customHeight="false" outlineLevel="0" collapsed="false">
      <c r="A8" s="30" t="s">
        <v>211</v>
      </c>
      <c r="B8" s="31" t="n">
        <f aca="false">B7/B4</f>
        <v>0.781249999989706</v>
      </c>
      <c r="C8" s="30" t="s">
        <v>212</v>
      </c>
    </row>
    <row r="9" customFormat="false" ht="15" hidden="false" customHeight="false" outlineLevel="0" collapsed="false">
      <c r="A9" s="30" t="s">
        <v>213</v>
      </c>
      <c r="B9" s="31" t="n">
        <f aca="false">1-PRODUCT(1-DZ5_Controls!G3:G13)</f>
        <v>0.16</v>
      </c>
      <c r="C9" s="30" t="s">
        <v>214</v>
      </c>
    </row>
    <row r="10" customFormat="false" ht="15" hidden="false" customHeight="false" outlineLevel="0" collapsed="false">
      <c r="A10" s="30" t="s">
        <v>215</v>
      </c>
      <c r="B10" s="32" t="n">
        <f aca="false">B4*(1-B9)</f>
        <v>94860000</v>
      </c>
      <c r="C10" s="30" t="s">
        <v>216</v>
      </c>
    </row>
    <row r="11" customFormat="false" ht="15" hidden="false" customHeight="false" outlineLevel="0" collapsed="false">
      <c r="A11" s="30" t="s">
        <v>217</v>
      </c>
      <c r="B11" s="32" t="n">
        <f aca="false">B7-B6</f>
        <v>85126446.4274089</v>
      </c>
      <c r="C11" s="30" t="s">
        <v>218</v>
      </c>
    </row>
    <row r="12" customFormat="false" ht="15" hidden="false" customHeight="false" outlineLevel="0" collapsed="false">
      <c r="A12" s="30" t="s">
        <v>219</v>
      </c>
      <c r="B12" s="35" t="n">
        <f aca="false">B7/B6</f>
        <v>28.4690049781894</v>
      </c>
      <c r="C12" s="30" t="s">
        <v>220</v>
      </c>
    </row>
    <row r="13" customFormat="false" ht="15" hidden="false" customHeight="false" outlineLevel="0" collapsed="false">
      <c r="A13" s="30" t="s">
        <v>221</v>
      </c>
      <c r="B13" s="30" t="s">
        <v>222</v>
      </c>
      <c r="C13" s="30" t="s">
        <v>223</v>
      </c>
    </row>
    <row r="14" customFormat="false" ht="15" hidden="false" customHeight="false" outlineLevel="0" collapsed="false">
      <c r="A14" s="30" t="s">
        <v>224</v>
      </c>
      <c r="B14" s="30" t="s">
        <v>225</v>
      </c>
      <c r="C14" s="30" t="s">
        <v>226</v>
      </c>
    </row>
    <row r="16" customFormat="false" ht="15" hidden="false" customHeight="false" outlineLevel="0" collapsed="false">
      <c r="A16" s="36" t="s">
        <v>227</v>
      </c>
      <c r="B16" s="36"/>
      <c r="C16" s="36"/>
      <c r="D16" s="36"/>
      <c r="E16" s="36"/>
    </row>
    <row r="17" customFormat="false" ht="60" hidden="false" customHeight="true" outlineLevel="0" collapsed="false">
      <c r="A17" s="37" t="s">
        <v>228</v>
      </c>
      <c r="B17" s="30" t="s">
        <v>229</v>
      </c>
      <c r="C17" s="30"/>
      <c r="D17" s="30"/>
      <c r="E17" s="30"/>
    </row>
    <row r="18" customFormat="false" ht="60" hidden="false" customHeight="true" outlineLevel="0" collapsed="false">
      <c r="A18" s="37" t="s">
        <v>230</v>
      </c>
      <c r="B18" s="30" t="s">
        <v>231</v>
      </c>
      <c r="C18" s="30"/>
      <c r="D18" s="30"/>
      <c r="E18" s="30"/>
    </row>
    <row r="19" customFormat="false" ht="60" hidden="false" customHeight="true" outlineLevel="0" collapsed="false">
      <c r="A19" s="37" t="s">
        <v>232</v>
      </c>
      <c r="B19" s="30" t="s">
        <v>233</v>
      </c>
      <c r="C19" s="30"/>
      <c r="D19" s="30"/>
      <c r="E19" s="30"/>
    </row>
    <row r="20" customFormat="false" ht="60" hidden="false" customHeight="true" outlineLevel="0" collapsed="false">
      <c r="A20" s="37" t="s">
        <v>234</v>
      </c>
      <c r="B20" s="30" t="s">
        <v>235</v>
      </c>
      <c r="C20" s="30"/>
      <c r="D20" s="30"/>
      <c r="E20" s="30"/>
    </row>
    <row r="21" customFormat="false" ht="60" hidden="false" customHeight="true" outlineLevel="0" collapsed="false">
      <c r="A21" s="37" t="s">
        <v>236</v>
      </c>
      <c r="B21" s="30" t="s">
        <v>237</v>
      </c>
      <c r="C21" s="30"/>
      <c r="D21" s="30"/>
      <c r="E21" s="30"/>
    </row>
  </sheetData>
  <mergeCells count="7">
    <mergeCell ref="A1:E1"/>
    <mergeCell ref="A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2026-05-19T09:23:37Z</dcterms:modified>
  <cp:revision>1</cp:revision>
  <dc:subject/>
  <dc:title/>
</cp:coreProperties>
</file>
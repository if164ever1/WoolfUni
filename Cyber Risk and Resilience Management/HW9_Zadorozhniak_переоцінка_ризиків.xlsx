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Панель" sheetId="1" state="visible" r:id="rId2"/>
    <sheet name="RPO" sheetId="2" state="visible" r:id="rId3"/>
    <sheet name="RTO" sheetId="3" state="visible" r:id="rId4"/>
    <sheet name="Заходи" sheetId="4" state="visible" r:id="rId5"/>
    <sheet name="Розрахунки" sheetId="5" state="visible" r:id="rId6"/>
    <sheet name="ДЗ9_Панель" sheetId="6" state="visible" r:id="rId7"/>
    <sheet name="ДЗ9_FAIR" sheetId="7" state="visible" r:id="rId8"/>
    <sheet name="ДЗ9_Стратегії" sheetId="8" state="visible" r:id="rId9"/>
    <sheet name="ДЗ9_Висновок" sheetId="9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<sst xmlns="http://schemas.openxmlformats.org/spreadsheetml/2006/main" count="379" uniqueCount="300">
  <si>
    <t xml:space="preserve">RPO та RTO: відновлення після ransomware-інциденту</t>
  </si>
  <si>
    <t xml:space="preserve">Сценарій: ransomware-атака на інтернет-магазин. Зашифровано сервер сайту, базу замовлень, частину CRM та файлове сховище. Мета — мінімізувати втрату даних і час простою.</t>
  </si>
  <si>
    <t xml:space="preserve">Систем у плані</t>
  </si>
  <si>
    <t xml:space="preserve">Висока критичність</t>
  </si>
  <si>
    <t xml:space="preserve">Мін. RPO</t>
  </si>
  <si>
    <t xml:space="preserve">Мін. RTO</t>
  </si>
  <si>
    <t xml:space="preserve">Зведена таблиця для контролю пріоритетів</t>
  </si>
  <si>
    <t xml:space="preserve">Система</t>
  </si>
  <si>
    <t xml:space="preserve">Критичність</t>
  </si>
  <si>
    <t xml:space="preserve">RPO, хв</t>
  </si>
  <si>
    <t xml:space="preserve">RTO, хв</t>
  </si>
  <si>
    <t xml:space="preserve">RPO, формат</t>
  </si>
  <si>
    <t xml:space="preserve">RTO, формат</t>
  </si>
  <si>
    <t xml:space="preserve">Пріоритет</t>
  </si>
  <si>
    <t xml:space="preserve">Коментар</t>
  </si>
  <si>
    <t xml:space="preserve">Ключовий висновок: першими відновлюються сайт, база замовлень і платежі; для них потрібні найменші RPO/RTO та автоматизовані резервні рішення.</t>
  </si>
  <si>
    <t xml:space="preserve">1. Допустимий RPO для різних систем</t>
  </si>
  <si>
    <t xml:space="preserve">Інтервал backup, хв</t>
  </si>
  <si>
    <t xml:space="preserve">Затримка реплікації, хв</t>
  </si>
  <si>
    <t xml:space="preserve">Що це означає?</t>
  </si>
  <si>
    <t xml:space="preserve">Як забезпечити</t>
  </si>
  <si>
    <t xml:space="preserve">Сайт інтернет-магазину</t>
  </si>
  <si>
    <t xml:space="preserve">Висока</t>
  </si>
  <si>
    <t xml:space="preserve">Сайт має використовувати актуальну версію каталогу, кошика та сесій клієнтів.</t>
  </si>
  <si>
    <t xml:space="preserve">CDN + резервний вебсервер + копія конфігурації кожні 15 хвилин</t>
  </si>
  <si>
    <t xml:space="preserve">База замовлень</t>
  </si>
  <si>
    <t xml:space="preserve">Компанія може втратити максимум 5 хвилин нових замовлень.</t>
  </si>
  <si>
    <t xml:space="preserve">Реплікація майже в реальному часі + backup кожні 5 хвилин</t>
  </si>
  <si>
    <t xml:space="preserve">Платіжна інтеграція</t>
  </si>
  <si>
    <t xml:space="preserve">Втрата платіжних транзакцій неприпустима або має бути мінімальною.</t>
  </si>
  <si>
    <t xml:space="preserve">Зовнішній платіжний провайдер + журналювання транзакцій</t>
  </si>
  <si>
    <t xml:space="preserve">Складський облік</t>
  </si>
  <si>
    <t xml:space="preserve">Середня</t>
  </si>
  <si>
    <t xml:space="preserve">Можлива незначна неточність у залишках товарів, яку можна звірити після відновлення.</t>
  </si>
  <si>
    <t xml:space="preserve">Інкрементальний backup кожні 30 хвилин</t>
  </si>
  <si>
    <t xml:space="preserve">CRM та підтримка клієнтів</t>
  </si>
  <si>
    <t xml:space="preserve">Втрата частини звернень клієнтів за останню годину небажана, але не блокує продажі повністю.</t>
  </si>
  <si>
    <t xml:space="preserve">Погодинне резервне копіювання + хмарна копія</t>
  </si>
  <si>
    <t xml:space="preserve">Файлове сховище документів</t>
  </si>
  <si>
    <t xml:space="preserve">Низька/середня</t>
  </si>
  <si>
    <t xml:space="preserve">Документи змінюються нечасто, тому допустима втрата останніх змін за пів дня.</t>
  </si>
  <si>
    <t xml:space="preserve">Резервне копіювання 2 рази на день</t>
  </si>
  <si>
    <t xml:space="preserve">Логи безпеки та системні журнали</t>
  </si>
  <si>
    <t xml:space="preserve">Частина логів може бути втрачена, але бажано зберегти їх для розслідування.</t>
  </si>
  <si>
    <t xml:space="preserve">Щоденне архівування + передача логів у SIEM</t>
  </si>
  <si>
    <t xml:space="preserve">2. Допустимий RTO для різних систем</t>
  </si>
  <si>
    <t xml:space="preserve">Час запуску резерву, хв</t>
  </si>
  <si>
    <t xml:space="preserve">Час перевірки, хв</t>
  </si>
  <si>
    <t xml:space="preserve">Резервне рішення</t>
  </si>
  <si>
    <t xml:space="preserve">Сайт має бути доступний клієнтам максимум через 30 хвилин після інциденту.</t>
  </si>
  <si>
    <t xml:space="preserve">Резервний вебсервер або хмарне середовище</t>
  </si>
  <si>
    <t xml:space="preserve">Замовлення мають бути відновлені максимум за 1 годину, інакше бізнес втрачатиме продажі.</t>
  </si>
  <si>
    <t xml:space="preserve">Реплікація бази даних + автоматизоване відновлення</t>
  </si>
  <si>
    <t xml:space="preserve">Клієнти повинні знову мати можливість оплачувати замовлення протягом 1 години.</t>
  </si>
  <si>
    <t xml:space="preserve">Резервний канал інтеграції або fallback-провайдер</t>
  </si>
  <si>
    <t xml:space="preserve">Працівники складу можуть тимчасово працювати вручну, але не довше 3 годин.</t>
  </si>
  <si>
    <t xml:space="preserve">Резервна копія бази та окремий сервер</t>
  </si>
  <si>
    <t xml:space="preserve">Підтримка може працювати з обмеженнями, але тривалий простій погіршить сервіс.</t>
  </si>
  <si>
    <t xml:space="preserve">Хмарне резервування CRM</t>
  </si>
  <si>
    <t xml:space="preserve">Документи не є критичними для миттєвого продажу, тому можуть бути відновлені пізніше.</t>
  </si>
  <si>
    <t xml:space="preserve">Стандартне резервне копіювання + архівне сховище</t>
  </si>
  <si>
    <t xml:space="preserve">Логи важливі для аналізу атаки, але не обов’язково відновлювати їх першими.</t>
  </si>
  <si>
    <t xml:space="preserve">Централізований збір логів і архів</t>
  </si>
  <si>
    <t xml:space="preserve">3. Заходи для забезпечення RPO та RTO</t>
  </si>
  <si>
    <t xml:space="preserve">Захід відновлення</t>
  </si>
  <si>
    <t xml:space="preserve">Що захищає?</t>
  </si>
  <si>
    <t xml:space="preserve">Для яких систем?</t>
  </si>
  <si>
    <t xml:space="preserve">Як забезпечує RPO/RTO?</t>
  </si>
  <si>
    <t xml:space="preserve">Чому це важливо?</t>
  </si>
  <si>
    <t xml:space="preserve">Реплікація бази даних у реальному часі</t>
  </si>
  <si>
    <t xml:space="preserve">Замовлення, платежі, клієнтські дані</t>
  </si>
  <si>
    <t xml:space="preserve">База замовлень, платіжна інтеграція, CRM</t>
  </si>
  <si>
    <t xml:space="preserve">RPO 0–5 хвилин</t>
  </si>
  <si>
    <t xml:space="preserve">Мінімізує втрату критичних бізнес-даних</t>
  </si>
  <si>
    <t xml:space="preserve">Автоматичне перемикання на резервний сервер</t>
  </si>
  <si>
    <t xml:space="preserve">Доступність сайту та бази даних</t>
  </si>
  <si>
    <t xml:space="preserve">Сайт, база замовлень</t>
  </si>
  <si>
    <t xml:space="preserve">RTO 30–60 хвилин</t>
  </si>
  <si>
    <t xml:space="preserve">Зменшує час простою після атаки</t>
  </si>
  <si>
    <t xml:space="preserve">Інкрементальні резервні копії</t>
  </si>
  <si>
    <t xml:space="preserve">Зміни в базах даних і файлах</t>
  </si>
  <si>
    <t xml:space="preserve">CRM, складський облік, файлове сховище</t>
  </si>
  <si>
    <t xml:space="preserve">RPO 30–720 хвилин</t>
  </si>
  <si>
    <t xml:space="preserve">Зберігає часті зміни без великого навантаження</t>
  </si>
  <si>
    <t xml:space="preserve">Immutable backups — незмінювані резервні копії</t>
  </si>
  <si>
    <t xml:space="preserve">Захист резервних копій від шифрування</t>
  </si>
  <si>
    <t xml:space="preserve">Усі критичні системи</t>
  </si>
  <si>
    <t xml:space="preserve">Підтримує RPO/RTO після ransomware</t>
  </si>
  <si>
    <t xml:space="preserve">Зловмисники не зможуть змінити або видалити копії</t>
  </si>
  <si>
    <t xml:space="preserve">Окреме хмарне резервне середовище</t>
  </si>
  <si>
    <t xml:space="preserve">Роботу бізнесу після повного збою основної інфраструктури</t>
  </si>
  <si>
    <t xml:space="preserve">Сайт, база замовлень, CRM</t>
  </si>
  <si>
    <t xml:space="preserve">Прискорює RTO</t>
  </si>
  <si>
    <t xml:space="preserve">Потрібне, якщо основний сервер повністю недоступний</t>
  </si>
  <si>
    <t xml:space="preserve">Централізований збір логів</t>
  </si>
  <si>
    <t xml:space="preserve">Дані для розслідування інциденту</t>
  </si>
  <si>
    <t xml:space="preserve">Логи безпеки, системні журнали</t>
  </si>
  <si>
    <t xml:space="preserve">Зменшує ризик втрати доказів</t>
  </si>
  <si>
    <t xml:space="preserve">Допомагає зрозуміти джерело та масштаб атаки</t>
  </si>
  <si>
    <t xml:space="preserve">Регулярне тестування відновлення</t>
  </si>
  <si>
    <t xml:space="preserve">Перевірку працездатності резервних копій</t>
  </si>
  <si>
    <t xml:space="preserve">Усі системи</t>
  </si>
  <si>
    <t xml:space="preserve">Підтверджує реальність RPO/RTO</t>
  </si>
  <si>
    <t xml:space="preserve">Без тестування резервні копії можуть бути непридатними</t>
  </si>
  <si>
    <t xml:space="preserve">Формули та розрахунки для Google Sheets</t>
  </si>
  <si>
    <t xml:space="preserve">Змінюйте вхідні значення у стовпцях C:D на аркушах RPO та RTO — результати перерахуються автоматично.</t>
  </si>
  <si>
    <t xml:space="preserve">Показник</t>
  </si>
  <si>
    <t xml:space="preserve">Формула</t>
  </si>
  <si>
    <t xml:space="preserve">Де використовується</t>
  </si>
  <si>
    <t xml:space="preserve">Пояснення</t>
  </si>
  <si>
    <t xml:space="preserve">Приклад системи</t>
  </si>
  <si>
    <t xml:space="preserve">Результат, хв</t>
  </si>
  <si>
    <t xml:space="preserve">Результат, формат</t>
  </si>
  <si>
    <t xml:space="preserve">RPO</t>
  </si>
  <si>
    <t xml:space="preserve">=Інтервал backup + Затримка реплікації</t>
  </si>
  <si>
    <t xml:space="preserve">RPO!E4:E10</t>
  </si>
  <si>
    <t xml:space="preserve">Скільки даних можна втратити після інциденту.</t>
  </si>
  <si>
    <t xml:space="preserve">RTO</t>
  </si>
  <si>
    <t xml:space="preserve">=Час запуску резерву + Час перевірки</t>
  </si>
  <si>
    <t xml:space="preserve">RTO!E4:E10</t>
  </si>
  <si>
    <t xml:space="preserve">За який максимальний час система має бути відновлена.</t>
  </si>
  <si>
    <t xml:space="preserve">=IF(критичність або RTO&lt;=60 хв, пріоритет 1, ...)</t>
  </si>
  <si>
    <t xml:space="preserve">Панель!G11:G17</t>
  </si>
  <si>
    <t xml:space="preserve">Визначає порядок відновлення систем.</t>
  </si>
  <si>
    <t xml:space="preserve">Сайт</t>
  </si>
  <si>
    <t xml:space="preserve">ДЗ9: Переоцінка ризиків після заходів контролю</t>
  </si>
  <si>
    <t xml:space="preserve">Сценарій: ransomware-атака на інтернет-магазин. Показники нижче автоматично підтягуються з аркуша ДЗ9_FAIR.</t>
  </si>
  <si>
    <t xml:space="preserve">Значення</t>
  </si>
  <si>
    <t xml:space="preserve">Рішення</t>
  </si>
  <si>
    <t xml:space="preserve">ALE до контролів</t>
  </si>
  <si>
    <t xml:space="preserve">Сукупний RR</t>
  </si>
  <si>
    <t xml:space="preserve">Має бути нижче прийнятного порогу</t>
  </si>
  <si>
    <t xml:space="preserve">RR після контролів</t>
  </si>
  <si>
    <t xml:space="preserve">Прийнятний поріг</t>
  </si>
  <si>
    <t xml:space="preserve">Поріг можна змінити на ДЗ9_FAIR!D3</t>
  </si>
  <si>
    <t xml:space="preserve">Зменшення очікуваних втрат</t>
  </si>
  <si>
    <t xml:space="preserve">Кількість прийнятних систем</t>
  </si>
  <si>
    <t xml:space="preserve">Статус формується автоматично</t>
  </si>
  <si>
    <t xml:space="preserve">Ефективність контролів CF</t>
  </si>
  <si>
    <t xml:space="preserve">Загальний висновок</t>
  </si>
  <si>
    <t xml:space="preserve">Остаточна стратегія: мінімізація + передача + прийняття</t>
  </si>
  <si>
    <t xml:space="preserve">Вартість контролів/рік</t>
  </si>
  <si>
    <t xml:space="preserve">Економічна доцільність</t>
  </si>
  <si>
    <t xml:space="preserve">Порівнюється вигода від зменшення ALE з річною вартістю контролів</t>
  </si>
  <si>
    <t xml:space="preserve">ALE до, $</t>
  </si>
  <si>
    <t xml:space="preserve">RR після, $</t>
  </si>
  <si>
    <t xml:space="preserve">Фінальний висновок для LMS</t>
  </si>
  <si>
    <t xml:space="preserve">Після контролів очікувані фінансові втрати зменшуються з ALE до залишкового ризику RR. Оскільки RR нижчий за встановлений прийнятний рівень, компанія може прийняти частину ризику, але для критичних систем залишає стратегію мінімізації та передачі ризику.</t>
  </si>
  <si>
    <t xml:space="preserve">Обрані стратегії: мінімізація для сайту, бази замовлень, CRM і логів; передача для платіжної інтеграції та частини фінансових наслідків через кіберстрахування; прийняття для нижчих залишкових ризиків після контролів.</t>
  </si>
  <si>
    <t xml:space="preserve">Подальші дії: регулярне тестування відновлення, контроль RPO/RTO, перевірка immutable backups, оновлення правил EDR/SIEM та щорічний перегляд фінансових параметрів ризику.</t>
  </si>
  <si>
    <t xml:space="preserve">ДЗ9. Переоцінка ризиків та вибір стратегії керування</t>
  </si>
  <si>
    <t xml:space="preserve">Кейс: ransomware-атака на інтернет-магазин. Модель показує зміну параметрів FAIR після контролів, розрахунок RR = ALE × (1 − CF), фінансовий ефект і стратегію керування залишковим ризиком.</t>
  </si>
  <si>
    <t xml:space="preserve">Прийнятний рівень ризику на систему, $</t>
  </si>
  <si>
    <t xml:space="preserve">Прийнятний сукупний RR, $</t>
  </si>
  <si>
    <t xml:space="preserve">Усі жовті клітинки можна редагувати</t>
  </si>
  <si>
    <t xml:space="preserve">Сценарій ризику</t>
  </si>
  <si>
    <t xml:space="preserve">Loss Magnitude до, $</t>
  </si>
  <si>
    <t xml:space="preserve">TEF до</t>
  </si>
  <si>
    <t xml:space="preserve">Vuln до</t>
  </si>
  <si>
    <t xml:space="preserve">LEF до</t>
  </si>
  <si>
    <t xml:space="preserve">Впроваджені контролі</t>
  </si>
  <si>
    <t xml:space="preserve">Зменшення TEF</t>
  </si>
  <si>
    <t xml:space="preserve">Зменшення Vuln</t>
  </si>
  <si>
    <t xml:space="preserve">Зменшення Loss</t>
  </si>
  <si>
    <t xml:space="preserve">TEF після</t>
  </si>
  <si>
    <t xml:space="preserve">Vuln після</t>
  </si>
  <si>
    <t xml:space="preserve">LEF після</t>
  </si>
  <si>
    <t xml:space="preserve">Loss Magnitude після, $</t>
  </si>
  <si>
    <t xml:space="preserve">ALE після, $</t>
  </si>
  <si>
    <t xml:space="preserve">CF</t>
  </si>
  <si>
    <t xml:space="preserve">RR = ALE×(1−CF), $</t>
  </si>
  <si>
    <t xml:space="preserve">Зменшення втрат, $</t>
  </si>
  <si>
    <t xml:space="preserve">Зменшення, %</t>
  </si>
  <si>
    <t xml:space="preserve">Стратегія</t>
  </si>
  <si>
    <t xml:space="preserve">Статус прийнятності</t>
  </si>
  <si>
    <t xml:space="preserve">Обґрунтування</t>
  </si>
  <si>
    <t xml:space="preserve">Вартість контролів/рік, $</t>
  </si>
  <si>
    <t xml:space="preserve">Чистий ефект, $</t>
  </si>
  <si>
    <t xml:space="preserve">ROI</t>
  </si>
  <si>
    <t xml:space="preserve">Додаткові дії</t>
  </si>
  <si>
    <t xml:space="preserve">Шифрування вебсервера, простій продажів і кошика</t>
  </si>
  <si>
    <t xml:space="preserve">EDR, hardening, WAF/CDN, резервний вебсервер, регулярні restore-тести</t>
  </si>
  <si>
    <t xml:space="preserve">Мінімізація + прийняття</t>
  </si>
  <si>
    <t xml:space="preserve">Після контролів RR нижчий за поріг; критичність висока, тому ризик не лише приймається, а й постійно мінімізується.</t>
  </si>
  <si>
    <t xml:space="preserve">Щоквартальний тест failover і контроль RTO 30 хв.</t>
  </si>
  <si>
    <t xml:space="preserve">Шифрування/втрата нових замовлень і історії покупок</t>
  </si>
  <si>
    <t xml:space="preserve">Реплікація БД, immutable backups, MFA для адміністраторів, сегментація</t>
  </si>
  <si>
    <t xml:space="preserve">Мінімізація + передача</t>
  </si>
  <si>
    <t xml:space="preserve">Найбільш критична бізнес-система; залишковий ризик знижений, але частину фінансового впливу доцільно передати через кіберстрахування.</t>
  </si>
  <si>
    <t xml:space="preserve">Додати моніторинг аномальних масових змін у БД.</t>
  </si>
  <si>
    <t xml:space="preserve">Неможливість приймати оплату або розбіжності в транзакціях</t>
  </si>
  <si>
    <t xml:space="preserve">Зовнішній платіжний провайдер, журналювання транзакцій, резервний канал оплати</t>
  </si>
  <si>
    <t xml:space="preserve">Передача + мінімізація</t>
  </si>
  <si>
    <t xml:space="preserve">Основну частину операційного ризику передано провайдеру; внутрішні журнали й fallback зменшують залишкові втрати.</t>
  </si>
  <si>
    <t xml:space="preserve">Перевіряти SLA провайдера та сценарій fallback-оплати.</t>
  </si>
  <si>
    <t xml:space="preserve">Неточні залишки товарів після відновлення</t>
  </si>
  <si>
    <t xml:space="preserve">Інкрементальні backup, ручний аварійний процес, звірка залишків</t>
  </si>
  <si>
    <t xml:space="preserve">Ризик прийнятний, бо тимчасовий ручний процес дозволяє не зупиняти продажі повністю.</t>
  </si>
  <si>
    <t xml:space="preserve">Провести тренування складу для ручного режиму раз на пів року.</t>
  </si>
  <si>
    <t xml:space="preserve">Втрата звернень клієнтів і історії комунікацій</t>
  </si>
  <si>
    <t xml:space="preserve">Хмарний backup CRM, MFA, контроль прав доступу, шаблони кризової комунікації</t>
  </si>
  <si>
    <t xml:space="preserve">Залишковий ризик нижчий за поріг; додатково підтримка може працювати за резервним комунікаційним процесом.</t>
  </si>
  <si>
    <t xml:space="preserve">Оновлювати експорт клієнтських даних і сценарії сповіщення.</t>
  </si>
  <si>
    <t xml:space="preserve">Шифрування внутрішніх документів</t>
  </si>
  <si>
    <t xml:space="preserve">Щоденний backup, immutable storage, розмежування прав на файлові папки</t>
  </si>
  <si>
    <t xml:space="preserve">Прийняття + мінімізація</t>
  </si>
  <si>
    <t xml:space="preserve">Система не зупиняє основний продаж; після стандартних резервних копій залишковий ризик можна прийняти.</t>
  </si>
  <si>
    <t xml:space="preserve">Контролювати, щоб backup не був доступний із доменних облікових записів.</t>
  </si>
  <si>
    <t xml:space="preserve">Втрата доказів інциденту й ускладнення розслідування</t>
  </si>
  <si>
    <t xml:space="preserve">SIEM, централізований збір логів, write-once архів, обмеження доступу</t>
  </si>
  <si>
    <t xml:space="preserve">Мінімізація</t>
  </si>
  <si>
    <t xml:space="preserve">Логи важливі для форензіки; навіть при невисоких прямих втратах ризик потрібно мінімізувати.</t>
  </si>
  <si>
    <t xml:space="preserve">Зберігати ключові логи окремо від основного домену.</t>
  </si>
  <si>
    <t xml:space="preserve">Разом / середнє</t>
  </si>
  <si>
    <t xml:space="preserve">Вибір стратегії керування залишковим ризиком</t>
  </si>
  <si>
    <t xml:space="preserve">Коли застосовується</t>
  </si>
  <si>
    <t xml:space="preserve">Як впливає на RR</t>
  </si>
  <si>
    <t xml:space="preserve">Приклад у цьому кейсі</t>
  </si>
  <si>
    <t xml:space="preserve">Фінансова логіка</t>
  </si>
  <si>
    <t xml:space="preserve">Ризик після стратегії</t>
  </si>
  <si>
    <t xml:space="preserve">Контрольний власник</t>
  </si>
  <si>
    <t xml:space="preserve">Періодичність перегляду</t>
  </si>
  <si>
    <t xml:space="preserve">Прийняття ризику</t>
  </si>
  <si>
    <t xml:space="preserve">RR нижчий за прийнятний поріг і не блокує основний бізнес-процес.</t>
  </si>
  <si>
    <t xml:space="preserve">RR залишається, але компанія усвідомлено його покриває.</t>
  </si>
  <si>
    <t xml:space="preserve">Файлове сховище після immutable backups і регулярних копій.</t>
  </si>
  <si>
    <t xml:space="preserve">Вартість додаткового зниження може бути більшою, ніж очікувана вигода.</t>
  </si>
  <si>
    <t xml:space="preserve">Низький/керований</t>
  </si>
  <si>
    <t xml:space="preserve">CISO + власник процесу</t>
  </si>
  <si>
    <t xml:space="preserve">Щороку або після інциденту</t>
  </si>
  <si>
    <t xml:space="preserve">Мінімізація ризику</t>
  </si>
  <si>
    <t xml:space="preserve">Система критична або RR все ще має операційний вплив.</t>
  </si>
  <si>
    <t xml:space="preserve">Зменшує TEF, Vuln і/або Loss Magnitude.</t>
  </si>
  <si>
    <t xml:space="preserve">Сайт, база замовлень, CRM, SIEM/логи.</t>
  </si>
  <si>
    <t xml:space="preserve">Доцільно, якщо очікуване зменшення ALE перевищує витрати контролів.</t>
  </si>
  <si>
    <t xml:space="preserve">Знижений, але не нульовий</t>
  </si>
  <si>
    <t xml:space="preserve">IT Security + Infrastructure</t>
  </si>
  <si>
    <t xml:space="preserve">Щоквартально</t>
  </si>
  <si>
    <t xml:space="preserve">Передача ризику</t>
  </si>
  <si>
    <t xml:space="preserve">Фінансові наслідки можна передати третій стороні або покрити страховкою.</t>
  </si>
  <si>
    <t xml:space="preserve">Не усуває подію, але зменшує прямий фінансовий вплив компанії.</t>
  </si>
  <si>
    <t xml:space="preserve">Платіжний провайдер, кіберстрахування для бази замовлень.</t>
  </si>
  <si>
    <t xml:space="preserve">Платіжний SLA/страхування зменшують Loss Magnitude.</t>
  </si>
  <si>
    <t xml:space="preserve">Частково переданий</t>
  </si>
  <si>
    <t xml:space="preserve">Legal + Finance + CISO</t>
  </si>
  <si>
    <t xml:space="preserve">Щороку при оновленні договорів</t>
  </si>
  <si>
    <t xml:space="preserve">Уникнення ризику</t>
  </si>
  <si>
    <t xml:space="preserve">Процес має неприйнятний RR і його можна замінити/закрити.</t>
  </si>
  <si>
    <t xml:space="preserve">Ризик усувається через відмову від небезпечної активності.</t>
  </si>
  <si>
    <t xml:space="preserve">Не обрано як основну стратегію, бо інтернет-магазин не може відмовитись від продажів онлайн.</t>
  </si>
  <si>
    <t xml:space="preserve">Застосовується лише якщо очікувані втрати перевищують бізнес-цінність процесу.</t>
  </si>
  <si>
    <t xml:space="preserve">Мінімальний або відсутній</t>
  </si>
  <si>
    <t xml:space="preserve">Executive Management</t>
  </si>
  <si>
    <t xml:space="preserve">За потреби</t>
  </si>
  <si>
    <t xml:space="preserve">Пояснення, формули та фінальний висновок</t>
  </si>
  <si>
    <t xml:space="preserve">Джерело в таблиці</t>
  </si>
  <si>
    <t xml:space="preserve">TEF до × Vuln до</t>
  </si>
  <si>
    <t xml:space="preserve">ДЗ9_FAIR!G5:G12</t>
  </si>
  <si>
    <t xml:space="preserve">Очікувана частота подій втрат до впровадження контролів.</t>
  </si>
  <si>
    <t xml:space="preserve">ALE до</t>
  </si>
  <si>
    <t xml:space="preserve">Loss Magnitude до × LEF до</t>
  </si>
  <si>
    <t xml:space="preserve">ДЗ9_FAIR!H5:H12</t>
  </si>
  <si>
    <t xml:space="preserve">Очікувані річні фінансові втрати до контролів.</t>
  </si>
  <si>
    <t xml:space="preserve">TEF до × (1 − зменшення TEF)</t>
  </si>
  <si>
    <t xml:space="preserve">ДЗ9_FAIR!M5:M12</t>
  </si>
  <si>
    <t xml:space="preserve">Контролі зменшують частоту загрозливих подій.</t>
  </si>
  <si>
    <t xml:space="preserve">Vuln до × (1 − зменшення Vuln)</t>
  </si>
  <si>
    <t xml:space="preserve">ДЗ9_FAIR!N5:N12</t>
  </si>
  <si>
    <t xml:space="preserve">Контролі зменшують імовірність, що подія стане подією втрат.</t>
  </si>
  <si>
    <t xml:space="preserve">ALE після</t>
  </si>
  <si>
    <t xml:space="preserve">LEF після × Loss Magnitude після</t>
  </si>
  <si>
    <t xml:space="preserve">ДЗ9_FAIR!Q5:Q12</t>
  </si>
  <si>
    <t xml:space="preserve">Переоцінений очікуваний річний збиток після контролів.</t>
  </si>
  <si>
    <t xml:space="preserve">1 − (ALE після / ALE до)</t>
  </si>
  <si>
    <t xml:space="preserve">ДЗ9_FAIR!R5:R12</t>
  </si>
  <si>
    <t xml:space="preserve">Загальна ефективність контролів у відсотках.</t>
  </si>
  <si>
    <t xml:space="preserve">RR</t>
  </si>
  <si>
    <t xml:space="preserve">ALE до × (1 − CF)</t>
  </si>
  <si>
    <t xml:space="preserve">ДЗ9_FAIR!S5:S12</t>
  </si>
  <si>
    <t xml:space="preserve">Залишковий ризик після контролів. У цій моделі RR дорівнює переоціненому ALE після контролів.</t>
  </si>
  <si>
    <t xml:space="preserve">Чистий ефект</t>
  </si>
  <si>
    <t xml:space="preserve">Зменшення втрат − вартість контролів</t>
  </si>
  <si>
    <t xml:space="preserve">ДЗ9_FAIR!Z5:Z12</t>
  </si>
  <si>
    <t xml:space="preserve">Показує економічну доцільність заходів контролю.</t>
  </si>
  <si>
    <t xml:space="preserve">Чистий ефект / вартість контролів</t>
  </si>
  <si>
    <t xml:space="preserve">ДЗ9_FAIR!AA5:AA12</t>
  </si>
  <si>
    <t xml:space="preserve">Показує віддачу від витрат на кіберзахист.</t>
  </si>
  <si>
    <t xml:space="preserve">Фінальний висновок</t>
  </si>
  <si>
    <t xml:space="preserve">Після впровадження контролів сукупний ALE зменшується з</t>
  </si>
  <si>
    <t xml:space="preserve">до</t>
  </si>
  <si>
    <t xml:space="preserve">тобто очікувані втрати знижуються на</t>
  </si>
  <si>
    <t xml:space="preserve">Обраний рівень прийнятного ризику</t>
  </si>
  <si>
    <t xml:space="preserve">Статус</t>
  </si>
  <si>
    <t xml:space="preserve">Основна стратегія</t>
  </si>
  <si>
    <t xml:space="preserve">Для критичних систем використано мінімізацію та передачу ризику; для нижчих залишкових ризиків — прийняття.</t>
  </si>
  <si>
    <t xml:space="preserve">Чи потрібно більше змінювати безпеку?</t>
  </si>
  <si>
    <t xml:space="preserve">Не потрібно негайно збільшувати бюджет, бо чистий економічний ефект позитивний. Потрібно підтримувати регулярні restore-тести, оновлення EDR/SIEM і перегляд страхового покриття.</t>
  </si>
  <si>
    <t xml:space="preserve">Очікувані фінансові втрати після стратегії</t>
  </si>
  <si>
    <t xml:space="preserve">Примітка</t>
  </si>
  <si>
    <t xml:space="preserve">Усі жовті поля на аркуші ДЗ9_FAIR є припущеннями/вхідними даними. Після зміни значень таблиця перерахує RR, ROI і статус прийнятності.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</si>
</sst>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"/>
    <numFmt numFmtId="167" formatCode="\$#,##0"/>
    <numFmt numFmtId="168" formatCode="0.0%"/>
    <numFmt numFmtId="169" formatCode="0.00"/>
  </numFmts>
  <fonts count="1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Aptos"/>
      <family val="0"/>
      <charset val="1"/>
    </font>
    <font>
      <sz val="10"/>
      <color rgb="FF111827"/>
      <name val="Aptos"/>
      <family val="0"/>
      <charset val="1"/>
    </font>
    <font>
      <b val="true"/>
      <sz val="10"/>
      <color rgb="FF111827"/>
      <name val="Aptos"/>
      <family val="0"/>
      <charset val="1"/>
    </font>
    <font>
      <b val="true"/>
      <sz val="18"/>
      <color rgb="FF1E3A8A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166534"/>
      <name val="Apto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FFFFFF"/>
      <name val="Calibri"/>
      <family val="0"/>
      <charset val="1"/>
    </font>
    <font>
      <b val="true"/>
      <sz val="11"/>
      <color rgb="FF1F2937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4"/>
      <color rgb="FF166534"/>
      <name val="Calibri"/>
      <family val="0"/>
      <charset val="1"/>
    </font>
    <font>
      <b val="true"/>
      <sz val="11"/>
      <color rgb="FF374151"/>
      <name val="Calibri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E3A8A"/>
        <bgColor rgb="FF374151"/>
      </patternFill>
    </fill>
    <fill>
      <patternFill patternType="solid">
        <fgColor rgb="FFEFF6FF"/>
        <bgColor rgb="FFF3F4F6"/>
      </patternFill>
    </fill>
    <fill>
      <patternFill patternType="solid">
        <fgColor rgb="FFDBEAFE"/>
        <bgColor rgb="FFE5E7EB"/>
      </patternFill>
    </fill>
    <fill>
      <patternFill patternType="solid">
        <fgColor rgb="FFFFFFFF"/>
        <bgColor rgb="FFECFDF5"/>
      </patternFill>
    </fill>
    <fill>
      <patternFill patternType="solid">
        <fgColor rgb="FF2563EB"/>
        <bgColor rgb="FF1D4ED8"/>
      </patternFill>
    </fill>
    <fill>
      <patternFill patternType="solid">
        <fgColor rgb="FFECFDF5"/>
        <bgColor rgb="FFEFF6FF"/>
      </patternFill>
    </fill>
    <fill>
      <patternFill patternType="solid">
        <fgColor rgb="FF1F2937"/>
        <bgColor rgb="FF111827"/>
      </patternFill>
    </fill>
    <fill>
      <patternFill patternType="solid">
        <fgColor rgb="FFF3F4F6"/>
        <bgColor rgb="FFEFF6FF"/>
      </patternFill>
    </fill>
    <fill>
      <patternFill patternType="solid">
        <fgColor rgb="FFDCFCE7"/>
        <bgColor rgb="FFCCFBF1"/>
      </patternFill>
    </fill>
    <fill>
      <patternFill patternType="solid">
        <fgColor rgb="FF1D4ED8"/>
        <bgColor rgb="FF2563EB"/>
      </patternFill>
    </fill>
    <fill>
      <patternFill patternType="solid">
        <fgColor rgb="FF0F766E"/>
        <bgColor rgb="FF156082"/>
      </patternFill>
    </fill>
    <fill>
      <patternFill patternType="solid">
        <fgColor rgb="FFFEF3C7"/>
        <bgColor rgb="FFFEE2E2"/>
      </patternFill>
    </fill>
    <fill>
      <patternFill patternType="solid">
        <fgColor rgb="FFCCFBF1"/>
        <bgColor rgb="FFDCFCE7"/>
      </patternFill>
    </fill>
    <fill>
      <patternFill patternType="solid">
        <fgColor rgb="FFE5E7EB"/>
        <bgColor rgb="FFDBEAFE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4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5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6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7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3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8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4" fillId="4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8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9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16" fillId="10" borderId="0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14" fillId="10" borderId="0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4" fillId="10" borderId="0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8" fontId="16" fillId="10" borderId="0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5" fillId="11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4" fillId="0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5" fillId="1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9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7" fillId="13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17" fillId="13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4" fillId="13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9" fontId="4" fillId="13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8" fontId="4" fillId="13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9" fontId="4" fillId="10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4" fillId="10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8" fontId="4" fillId="10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4" fillId="14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13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10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4" fillId="15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14" fillId="15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9" fontId="14" fillId="15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14" fillId="15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9" fontId="14" fillId="1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14" fillId="1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14" fillId="1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14" fillId="14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4" fillId="1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4" fillId="9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8" fontId="4" fillId="0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42">
    <dxf>
      <font>
        <b val="1"/>
        <color rgb="FF991B1B"/>
      </font>
      <fill>
        <patternFill>
          <bgColor rgb="FFFEE2E2"/>
        </patternFill>
      </fill>
    </dxf>
    <dxf>
      <font>
        <b val="1"/>
        <color rgb="FF92400E"/>
      </font>
      <fill>
        <patternFill>
          <bgColor rgb="FFFEF3C7"/>
        </patternFill>
      </fill>
    </dxf>
    <dxf>
      <font>
        <b val="1"/>
        <color rgb="FF166534"/>
      </font>
      <fill>
        <patternFill>
          <bgColor rgb="FFDCFCE7"/>
        </patternFill>
      </fill>
    </dxf>
    <dxf>
      <fill>
        <patternFill patternType="solid">
          <fgColor rgb="FF1E3A8A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111827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166534"/>
        </patternFill>
      </fill>
    </dxf>
    <dxf>
      <fill>
        <patternFill patternType="solid">
          <fgColor rgb="FF92400E"/>
        </patternFill>
      </fill>
    </dxf>
    <dxf>
      <fill>
        <patternFill patternType="solid">
          <fgColor rgb="FF991B1B"/>
        </patternFill>
      </fill>
    </dxf>
    <dxf>
      <fill>
        <patternFill patternType="solid">
          <fgColor rgb="FFE9F9DB"/>
        </patternFill>
      </fill>
    </dxf>
    <dxf>
      <fill>
        <patternFill patternType="solid">
          <fgColor rgb="FFFEEBD4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b val="1"/>
        <color rgb="FF92400E"/>
      </font>
      <fill>
        <patternFill>
          <bgColor rgb="FFFEF3C7"/>
        </patternFill>
      </fill>
    </dxf>
    <dxf>
      <font>
        <b val="1"/>
        <color rgb="FF166534"/>
      </font>
      <fill>
        <patternFill>
          <bgColor rgb="FFDCFCE7"/>
        </patternFill>
      </fill>
    </dxf>
    <dxf>
      <fill>
        <patternFill patternType="solid">
          <fgColor rgb="FFE2FBE1"/>
        </patternFill>
      </fill>
    </dxf>
    <dxf>
      <fill>
        <patternFill patternType="solid">
          <fgColor rgb="FFFEEAD6"/>
        </patternFill>
      </fill>
    </dxf>
    <dxf>
      <fill>
        <patternFill patternType="solid">
          <fgColor rgb="FFFEF2CA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b val="1"/>
        <color rgb="FF92400E"/>
      </font>
      <fill>
        <patternFill>
          <bgColor rgb="FFFEF3C7"/>
        </patternFill>
      </fill>
    </dxf>
    <dxf>
      <font>
        <b val="1"/>
        <color rgb="FF166534"/>
      </font>
      <fill>
        <patternFill>
          <bgColor rgb="FFDCFCE7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b val="1"/>
        <color rgb="FF92400E"/>
      </font>
      <fill>
        <patternFill>
          <bgColor rgb="FFFEF3C7"/>
        </patternFill>
      </fill>
    </dxf>
    <dxf>
      <font>
        <b val="1"/>
        <color rgb="FF166534"/>
      </font>
      <fill>
        <patternFill>
          <bgColor rgb="FFDCFCE7"/>
        </patternFill>
      </fill>
    </dxf>
    <dxf>
      <fill>
        <patternFill patternType="solid">
          <fgColor rgb="FF1D4ED8"/>
        </patternFill>
      </fill>
    </dxf>
    <dxf>
      <fill>
        <patternFill patternType="solid">
          <fgColor rgb="FFE5E7EB"/>
        </patternFill>
      </fill>
    </dxf>
    <dxf>
      <fill>
        <patternFill patternType="solid">
          <fgColor rgb="FF1F2937"/>
        </patternFill>
      </fill>
    </dxf>
    <dxf>
      <fill>
        <patternFill patternType="solid">
          <fgColor rgb="FFCCFBF1"/>
        </patternFill>
      </fill>
    </dxf>
    <dxf>
      <fill>
        <patternFill patternType="solid">
          <fgColor rgb="FFEEF8D6"/>
        </patternFill>
      </fill>
    </dxf>
    <dxf>
      <fill>
        <patternFill patternType="solid">
          <fgColor rgb="FFF9F5CC"/>
        </patternFill>
      </fill>
    </dxf>
    <dxf>
      <fill>
        <patternFill patternType="solid">
          <fgColor rgb="FFFEE9D7"/>
        </patternFill>
      </fill>
    </dxf>
    <dxf>
      <fill>
        <patternFill patternType="solid">
          <fgColor rgb="FFE0FBE3"/>
        </patternFill>
      </fill>
    </dxf>
    <dxf>
      <fill>
        <patternFill patternType="solid">
          <fgColor rgb="FFE7F9DD"/>
        </patternFill>
      </fill>
    </dxf>
    <dxf>
      <fill>
        <patternFill patternType="solid">
          <fgColor rgb="FFFEECD2"/>
        </patternFill>
      </fill>
    </dxf>
    <dxf>
      <fill>
        <patternFill patternType="solid">
          <fgColor rgb="FFFEF2C9"/>
        </patternFill>
      </fill>
    </dxf>
    <dxf>
      <fill>
        <patternFill patternType="solid">
          <fgColor rgb="FFB91C1C"/>
        </patternFill>
      </fill>
    </dxf>
    <dxf>
      <font>
        <color rgb="FFB91C1C"/>
      </font>
      <fill>
        <patternFill>
          <bgColor rgb="FFFEE2E2"/>
        </patternFill>
      </fill>
    </dxf>
    <dxf>
      <font>
        <b val="1"/>
        <color rgb="FFB91C1C"/>
      </font>
      <fill>
        <patternFill>
          <bgColor rgb="FFFEE2E2"/>
        </patternFill>
      </fill>
    </dxf>
    <dxf>
      <font>
        <b val="1"/>
        <color rgb="FF166534"/>
      </font>
      <fill>
        <patternFill>
          <bgColor rgb="FFDCFC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96B24"/>
      <rgbColor rgb="FF000080"/>
      <rgbColor rgb="FF808000"/>
      <rgbColor rgb="FF800080"/>
      <rgbColor rgb="FF0F766E"/>
      <rgbColor rgb="FFCCCCCC"/>
      <rgbColor rgb="FF8B8B8B"/>
      <rgbColor rgb="FF9999FF"/>
      <rgbColor rgb="FFB91C1C"/>
      <rgbColor rgb="FFFEF3C7"/>
      <rgbColor rgb="FFCCFBF1"/>
      <rgbColor rgb="FF660066"/>
      <rgbColor rgb="FFFF8080"/>
      <rgbColor rgb="FF1D4ED8"/>
      <rgbColor rgb="FFD9D9D9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DCFCE7"/>
      <rgbColor rgb="FFECFDF5"/>
      <rgbColor rgb="FFF3F4F6"/>
      <rgbColor rgb="FFDBEAFE"/>
      <rgbColor rgb="FFEFF6FF"/>
      <rgbColor rgb="FFE5E7EB"/>
      <rgbColor rgb="FFFEE2E2"/>
      <rgbColor rgb="FF2563EB"/>
      <rgbColor rgb="FF33CCCC"/>
      <rgbColor rgb="FF99CC00"/>
      <rgbColor rgb="FFFFCC00"/>
      <rgbColor rgb="FFFF9900"/>
      <rgbColor rgb="FFE97132"/>
      <rgbColor rgb="FF666699"/>
      <rgbColor rgb="FF969696"/>
      <rgbColor rgb="FF166534"/>
      <rgbColor rgb="FF339966"/>
      <rgbColor rgb="FF111827"/>
      <rgbColor rgb="FF374151"/>
      <rgbColor rgb="FF92400E"/>
      <rgbColor rgb="FF993366"/>
      <rgbColor rgb="FF1E3A8A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RPO та RTO за системами, хв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"Критичність"</c:f>
              <c:strCache>
                <c:ptCount val="1"/>
                <c:pt idx="0">
                  <c:v>Критичність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Панель!$A$11:$A$17</c:f>
              <c:strCache>
                <c:ptCount val="7"/>
                <c:pt idx="0">
                  <c:v>Сайт інтернет-магазину</c:v>
                </c:pt>
                <c:pt idx="1">
                  <c:v>База замовлень</c:v>
                </c:pt>
                <c:pt idx="2">
                  <c:v>Платіжна інтеграція</c:v>
                </c:pt>
                <c:pt idx="3">
                  <c:v>Складський облік</c:v>
                </c:pt>
                <c:pt idx="4">
                  <c:v>CRM та підтримка клієнтів</c:v>
                </c:pt>
                <c:pt idx="5">
                  <c:v>Файлове сховище документів</c:v>
                </c:pt>
                <c:pt idx="6">
                  <c:v>Логи безпеки та системні журнали</c:v>
                </c:pt>
              </c:strCache>
            </c:strRef>
          </c:cat>
          <c:val>
            <c:numRef>
              <c:f>Панель!$B$11:$B$17</c:f>
              <c:numCache>
                <c:formatCode>General</c:formatCode>
                <c:ptCount val="7"/>
              </c:numCache>
            </c:numRef>
          </c:val>
        </c:ser>
        <c:ser>
          <c:idx val="1"/>
          <c:order val="1"/>
          <c:tx>
            <c:strRef>
              <c:f>"RPO, хв"</c:f>
              <c:strCache>
                <c:ptCount val="1"/>
                <c:pt idx="0">
                  <c:v>RPO, хв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Панель!$A$11:$A$17</c:f>
              <c:strCache>
                <c:ptCount val="7"/>
                <c:pt idx="0">
                  <c:v>Сайт інтернет-магазину</c:v>
                </c:pt>
                <c:pt idx="1">
                  <c:v>База замовлень</c:v>
                </c:pt>
                <c:pt idx="2">
                  <c:v>Платіжна інтеграція</c:v>
                </c:pt>
                <c:pt idx="3">
                  <c:v>Складський облік</c:v>
                </c:pt>
                <c:pt idx="4">
                  <c:v>CRM та підтримка клієнтів</c:v>
                </c:pt>
                <c:pt idx="5">
                  <c:v>Файлове сховище документів</c:v>
                </c:pt>
                <c:pt idx="6">
                  <c:v>Логи безпеки та системні журнали</c:v>
                </c:pt>
              </c:strCache>
            </c:strRef>
          </c:cat>
          <c:val>
            <c:numRef>
              <c:f>Панель!$C$11:$C$17</c:f>
              <c:numCache>
                <c:formatCode>General</c:formatCode>
                <c:ptCount val="7"/>
                <c:pt idx="0">
                  <c:v>15</c:v>
                </c:pt>
                <c:pt idx="1">
                  <c:v>5</c:v>
                </c:pt>
                <c:pt idx="2">
                  <c:v>5</c:v>
                </c:pt>
                <c:pt idx="3">
                  <c:v>30</c:v>
                </c:pt>
                <c:pt idx="4">
                  <c:v>60</c:v>
                </c:pt>
                <c:pt idx="5">
                  <c:v>720</c:v>
                </c:pt>
                <c:pt idx="6">
                  <c:v>1440</c:v>
                </c:pt>
              </c:numCache>
            </c:numRef>
          </c:val>
        </c:ser>
        <c:ser>
          <c:idx val="2"/>
          <c:order val="2"/>
          <c:tx>
            <c:strRef>
              <c:f>"RTO, хв"</c:f>
              <c:strCache>
                <c:ptCount val="1"/>
                <c:pt idx="0">
                  <c:v>RTO, хв</c:v>
                </c:pt>
              </c:strCache>
            </c:strRef>
          </c:tx>
          <c:spPr>
            <a:solidFill>
              <a:srgbClr val="196b2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Панель!$A$11:$A$17</c:f>
              <c:strCache>
                <c:ptCount val="7"/>
                <c:pt idx="0">
                  <c:v>Сайт інтернет-магазину</c:v>
                </c:pt>
                <c:pt idx="1">
                  <c:v>База замовлень</c:v>
                </c:pt>
                <c:pt idx="2">
                  <c:v>Платіжна інтеграція</c:v>
                </c:pt>
                <c:pt idx="3">
                  <c:v>Складський облік</c:v>
                </c:pt>
                <c:pt idx="4">
                  <c:v>CRM та підтримка клієнтів</c:v>
                </c:pt>
                <c:pt idx="5">
                  <c:v>Файлове сховище документів</c:v>
                </c:pt>
                <c:pt idx="6">
                  <c:v>Логи безпеки та системні журнали</c:v>
                </c:pt>
              </c:strCache>
            </c:strRef>
          </c:cat>
          <c:val>
            <c:numRef>
              <c:f>Панель!$D$11:$D$17</c:f>
              <c:numCache>
                <c:formatCode>General</c:formatCode>
                <c:ptCount val="7"/>
                <c:pt idx="0">
                  <c:v>30</c:v>
                </c:pt>
                <c:pt idx="1">
                  <c:v>60</c:v>
                </c:pt>
                <c:pt idx="2">
                  <c:v>60</c:v>
                </c:pt>
                <c:pt idx="3">
                  <c:v>180</c:v>
                </c:pt>
                <c:pt idx="4">
                  <c:v>240</c:v>
                </c:pt>
                <c:pt idx="5">
                  <c:v>480</c:v>
                </c:pt>
                <c:pt idx="6">
                  <c:v>720</c:v>
                </c:pt>
              </c:numCache>
            </c:numRef>
          </c:val>
        </c:ser>
        <c:gapWidth val="150"/>
        <c:overlap val="0"/>
        <c:axId val="87892089"/>
        <c:axId val="80575086"/>
      </c:barChart>
      <c:catAx>
        <c:axId val="87892089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0575086"/>
        <c:crosses val="autoZero"/>
        <c:auto val="1"/>
        <c:lblAlgn val="ctr"/>
        <c:lblOffset val="100"/>
        <c:noMultiLvlLbl val="0"/>
      </c:catAx>
      <c:valAx>
        <c:axId val="80575086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789208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"ALE до"</c:f>
              <c:strCache>
                <c:ptCount val="1"/>
                <c:pt idx="0">
                  <c:v>ALE до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ДЗ9_Панель!$A$12:$A$18</c:f>
              <c:strCache>
                <c:ptCount val="7"/>
                <c:pt idx="0">
                  <c:v>Сайт інтернет-магазину</c:v>
                </c:pt>
                <c:pt idx="1">
                  <c:v>База замовлень</c:v>
                </c:pt>
                <c:pt idx="2">
                  <c:v>Платіжна інтеграція</c:v>
                </c:pt>
                <c:pt idx="3">
                  <c:v>Складський облік</c:v>
                </c:pt>
                <c:pt idx="4">
                  <c:v>CRM та підтримка клієнтів</c:v>
                </c:pt>
                <c:pt idx="5">
                  <c:v>Файлове сховище документів</c:v>
                </c:pt>
                <c:pt idx="6">
                  <c:v>Логи безпеки та системні журнали</c:v>
                </c:pt>
              </c:strCache>
            </c:strRef>
          </c:cat>
          <c:val>
            <c:numRef>
              <c:f>ДЗ9_Панель!$B$12:$B$18</c:f>
              <c:numCache>
                <c:formatCode>General</c:formatCode>
                <c:ptCount val="7"/>
                <c:pt idx="0">
                  <c:v>49500</c:v>
                </c:pt>
                <c:pt idx="1">
                  <c:v>72000</c:v>
                </c:pt>
                <c:pt idx="2">
                  <c:v>39000</c:v>
                </c:pt>
                <c:pt idx="3">
                  <c:v>12000</c:v>
                </c:pt>
                <c:pt idx="4">
                  <c:v>15750</c:v>
                </c:pt>
                <c:pt idx="5">
                  <c:v>7200</c:v>
                </c:pt>
                <c:pt idx="6">
                  <c:v>4200</c:v>
                </c:pt>
              </c:numCache>
            </c:numRef>
          </c:val>
        </c:ser>
        <c:ser>
          <c:idx val="1"/>
          <c:order val="1"/>
          <c:tx>
            <c:strRef>
              <c:f>"RR після"</c:f>
              <c:strCache>
                <c:ptCount val="1"/>
                <c:pt idx="0">
                  <c:v>RR після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ДЗ9_Панель!$A$12:$A$18</c:f>
              <c:strCache>
                <c:ptCount val="7"/>
                <c:pt idx="0">
                  <c:v>Сайт інтернет-магазину</c:v>
                </c:pt>
                <c:pt idx="1">
                  <c:v>База замовлень</c:v>
                </c:pt>
                <c:pt idx="2">
                  <c:v>Платіжна інтеграція</c:v>
                </c:pt>
                <c:pt idx="3">
                  <c:v>Складський облік</c:v>
                </c:pt>
                <c:pt idx="4">
                  <c:v>CRM та підтримка клієнтів</c:v>
                </c:pt>
                <c:pt idx="5">
                  <c:v>Файлове сховище документів</c:v>
                </c:pt>
                <c:pt idx="6">
                  <c:v>Логи безпеки та системні журнали</c:v>
                </c:pt>
              </c:strCache>
            </c:strRef>
          </c:cat>
          <c:val>
            <c:numRef>
              <c:f>ДЗ9_Панель!$C$12:$C$18</c:f>
              <c:numCache>
                <c:formatCode>General</c:formatCode>
                <c:ptCount val="7"/>
                <c:pt idx="0">
                  <c:v>5240.8125</c:v>
                </c:pt>
                <c:pt idx="1">
                  <c:v>6318</c:v>
                </c:pt>
                <c:pt idx="2">
                  <c:v>5460</c:v>
                </c:pt>
                <c:pt idx="3">
                  <c:v>3712.5</c:v>
                </c:pt>
                <c:pt idx="4">
                  <c:v>4134.375</c:v>
                </c:pt>
                <c:pt idx="5">
                  <c:v>2764.8</c:v>
                </c:pt>
                <c:pt idx="6">
                  <c:v>1124.55</c:v>
                </c:pt>
              </c:numCache>
            </c:numRef>
          </c:val>
        </c:ser>
        <c:gapWidth val="150"/>
        <c:overlap val="0"/>
        <c:axId val="10325033"/>
        <c:axId val="15000917"/>
      </c:barChart>
      <c:catAx>
        <c:axId val="10325033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5000917"/>
        <c:crosses val="autoZero"/>
        <c:auto val="1"/>
        <c:lblAlgn val="ctr"/>
        <c:lblOffset val="100"/>
        <c:noMultiLvlLbl val="0"/>
      </c:catAx>
      <c:valAx>
        <c:axId val="15000917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032503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0</xdr:rowOff>
    </xdr:from>
    <xdr:to>
      <xdr:col>7</xdr:col>
      <xdr:colOff>2114280</xdr:colOff>
      <xdr:row>37</xdr:row>
      <xdr:rowOff>304560</xdr:rowOff>
    </xdr:to>
    <xdr:graphicFrame>
      <xdr:nvGraphicFramePr>
        <xdr:cNvPr id="0" name="Chart"/>
        <xdr:cNvGraphicFramePr/>
      </xdr:nvGraphicFramePr>
      <xdr:xfrm>
        <a:off x="0" y="6934320"/>
        <a:ext cx="10572480" cy="5486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10</xdr:row>
      <xdr:rowOff>0</xdr:rowOff>
    </xdr:from>
    <xdr:to>
      <xdr:col>7</xdr:col>
      <xdr:colOff>1268280</xdr:colOff>
      <xdr:row>17</xdr:row>
      <xdr:rowOff>190080</xdr:rowOff>
    </xdr:to>
    <xdr:graphicFrame>
      <xdr:nvGraphicFramePr>
        <xdr:cNvPr id="1" name="Chart"/>
        <xdr:cNvGraphicFramePr/>
      </xdr:nvGraphicFramePr>
      <xdr:xfrm>
        <a:off x="6202800" y="2336760"/>
        <a:ext cx="5638320" cy="1523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DZ9FAIRTable" displayName="DZ9FAIRTable" ref="A4:AC12" headerRowCount="1" totalsRowCount="0" totalsRowShown="0">
  <tableColumns count="29">
    <tableColumn id="1" name="Система"/>
    <tableColumn id="2" name="Критичність"/>
    <tableColumn id="3" name="Сценарій ризику"/>
    <tableColumn id="4" name="Loss Magnitude до, $"/>
    <tableColumn id="5" name="TEF до"/>
    <tableColumn id="6" name="Vuln до"/>
    <tableColumn id="7" name="LEF до"/>
    <tableColumn id="8" name="ALE до, $"/>
    <tableColumn id="9" name="Впроваджені контролі"/>
    <tableColumn id="10" name="Зменшення TEF"/>
    <tableColumn id="11" name="Зменшення Vuln"/>
    <tableColumn id="12" name="Зменшення Loss"/>
    <tableColumn id="13" name="TEF після"/>
    <tableColumn id="14" name="Vuln після"/>
    <tableColumn id="15" name="LEF після"/>
    <tableColumn id="16" name="Loss Magnitude після, $"/>
    <tableColumn id="17" name="ALE після, $"/>
    <tableColumn id="18" name="CF"/>
    <tableColumn id="19" name="RR = ALE×(1−CF), $"/>
    <tableColumn id="20" name="Зменшення втрат, $"/>
    <tableColumn id="21" name="Зменшення, %"/>
    <tableColumn id="22" name="Стратегія"/>
    <tableColumn id="23" name="Статус прийнятності"/>
    <tableColumn id="24" name="Обґрунтування"/>
    <tableColumn id="25" name="Вартість контролів/рік, $"/>
    <tableColumn id="26" name="Чистий ефект, $"/>
    <tableColumn id="27" name="ROI"/>
    <tableColumn id="28" name="Рішення"/>
    <tableColumn id="29" name="Додаткові дії"/>
  </tableColumns>
</table>
</file>

<file path=xl/tables/table2.xml><?xml version="1.0" encoding="utf-8"?>
<table xmlns="http://schemas.openxmlformats.org/spreadsheetml/2006/main" id="2" name="DZ9StrategyTable" displayName="DZ9StrategyTable" ref="A2:H6" headerRowCount="1" totalsRowCount="0" totalsRowShown="0">
  <tableColumns count="8">
    <tableColumn id="1" name="Стратегія"/>
    <tableColumn id="2" name="Коли застосовується"/>
    <tableColumn id="3" name="Як впливає на RR"/>
    <tableColumn id="4" name="Приклад у цьому кейсі"/>
    <tableColumn id="5" name="Фінансова логіка"/>
    <tableColumn id="6" name="Ризик після стратегії"/>
    <tableColumn id="7" name="Контрольний власник"/>
    <tableColumn id="8" name="Періодичність перегляду"/>
  </tableColumns>
</table>
</file>

<file path=xl/tables/table3.xml><?xml version="1.0" encoding="utf-8"?>
<table xmlns="http://schemas.openxmlformats.org/spreadsheetml/2006/main" id="3" name="MeasuresTable" displayName="MeasuresTable" ref="A3:F10" headerRowCount="1" totalsRowCount="0" totalsRowShown="0">
  <tableColumns count="6">
    <tableColumn id="1" name="Захід відновлення"/>
    <tableColumn id="2" name="Що захищає?"/>
    <tableColumn id="3" name="Для яких систем?"/>
    <tableColumn id="4" name="Як забезпечує RPO/RTO?"/>
    <tableColumn id="5" name="Чому це важливо?"/>
    <tableColumn id="6" name="Пріоритет"/>
  </tableColumns>
</table>
</file>

<file path=xl/tables/table4.xml><?xml version="1.0" encoding="utf-8"?>
<table xmlns="http://schemas.openxmlformats.org/spreadsheetml/2006/main" id="4" name="RPOTable" displayName="RPOTable" ref="A3:H10" headerRowCount="1" totalsRowCount="0" totalsRowShown="0">
  <tableColumns count="8">
    <tableColumn id="1" name="Система"/>
    <tableColumn id="2" name="Критичність"/>
    <tableColumn id="3" name="Інтервал backup, хв"/>
    <tableColumn id="4" name="Затримка реплікації, хв"/>
    <tableColumn id="5" name="RPO, хв"/>
    <tableColumn id="6" name="RPO, формат"/>
    <tableColumn id="7" name="Що це означає?"/>
    <tableColumn id="8" name="Як забезпечити"/>
  </tableColumns>
</table>
</file>

<file path=xl/tables/table5.xml><?xml version="1.0" encoding="utf-8"?>
<table xmlns="http://schemas.openxmlformats.org/spreadsheetml/2006/main" id="5" name="RTOTable" displayName="RTOTable" ref="A3:H10" headerRowCount="1" totalsRowCount="0" totalsRowShown="0">
  <tableColumns count="8">
    <tableColumn id="1" name="Система"/>
    <tableColumn id="2" name="Критичність"/>
    <tableColumn id="3" name="Час запуску резерву, хв"/>
    <tableColumn id="4" name="Час перевірки, хв"/>
    <tableColumn id="5" name="RTO, хв"/>
    <tableColumn id="6" name="RTO, формат"/>
    <tableColumn id="7" name="Що це означає?"/>
    <tableColumn id="8" name="Резервне рішення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6" min="5" style="0" width="14"/>
    <col collapsed="false" customWidth="true" hidden="false" outlineLevel="0" max="7" min="7" style="0" width="24"/>
    <col collapsed="false" customWidth="true" hidden="false" outlineLevel="0" max="8" min="8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4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44" hidden="false" customHeight="tru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24" hidden="false" customHeight="true" outlineLevel="0" collapsed="false">
      <c r="A4" s="3"/>
      <c r="B4" s="3"/>
      <c r="C4" s="3"/>
      <c r="D4" s="3"/>
      <c r="E4" s="3"/>
      <c r="F4" s="3"/>
      <c r="G4" s="3"/>
      <c r="H4" s="3"/>
    </row>
    <row r="5" customFormat="false" ht="24" hidden="false" customHeight="true" outlineLevel="0" collapsed="false">
      <c r="A5" s="4" t="s">
        <v>2</v>
      </c>
      <c r="B5" s="4"/>
      <c r="C5" s="4" t="s">
        <v>3</v>
      </c>
      <c r="D5" s="4"/>
      <c r="E5" s="4" t="s">
        <v>4</v>
      </c>
      <c r="F5" s="4"/>
      <c r="G5" s="4" t="s">
        <v>5</v>
      </c>
      <c r="H5" s="4"/>
    </row>
    <row r="6" customFormat="false" ht="24" hidden="false" customHeight="true" outlineLevel="0" collapsed="false">
      <c r="A6" s="5" t="n">
        <f aca="false">COUNTA(RPO!A4:A10)</f>
        <v>7</v>
      </c>
      <c r="B6" s="5"/>
      <c r="C6" s="5" t="n">
        <f aca="false">COUNTIF(RPO!B4:B10,"Висока")</f>
        <v>3</v>
      </c>
      <c r="D6" s="5"/>
      <c r="E6" s="5" t="str">
        <f aca="false">MIN(RPO!E4:E10)&amp;" хв"</f>
        <v>5 хв</v>
      </c>
      <c r="F6" s="5"/>
      <c r="G6" s="5" t="str">
        <f aca="false">MIN(RTO!E4:E10)&amp;" хв"</f>
        <v>30 хв</v>
      </c>
      <c r="H6" s="5"/>
    </row>
    <row r="7" customFormat="false" ht="24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24" hidden="false" customHeight="true" outlineLevel="0" collapsed="false">
      <c r="A8" s="3"/>
      <c r="B8" s="3"/>
      <c r="C8" s="3"/>
      <c r="D8" s="3"/>
      <c r="E8" s="3"/>
      <c r="F8" s="3"/>
      <c r="G8" s="3"/>
      <c r="H8" s="3"/>
    </row>
    <row r="9" customFormat="false" ht="24" hidden="false" customHeight="true" outlineLevel="0" collapsed="false">
      <c r="A9" s="6" t="s">
        <v>6</v>
      </c>
      <c r="B9" s="6"/>
      <c r="C9" s="6"/>
      <c r="D9" s="6"/>
      <c r="E9" s="6"/>
      <c r="F9" s="6"/>
      <c r="G9" s="6"/>
      <c r="H9" s="6"/>
    </row>
    <row r="10" customFormat="false" ht="24" hidden="false" customHeight="true" outlineLevel="0" collapsed="false">
      <c r="A10" s="7" t="s">
        <v>7</v>
      </c>
      <c r="B10" s="7" t="s">
        <v>8</v>
      </c>
      <c r="C10" s="7" t="s">
        <v>9</v>
      </c>
      <c r="D10" s="7" t="s">
        <v>10</v>
      </c>
      <c r="E10" s="7" t="s">
        <v>11</v>
      </c>
      <c r="F10" s="7" t="s">
        <v>12</v>
      </c>
      <c r="G10" s="7" t="s">
        <v>13</v>
      </c>
      <c r="H10" s="7" t="s">
        <v>14</v>
      </c>
    </row>
    <row r="11" customFormat="false" ht="24" hidden="false" customHeight="true" outlineLevel="0" collapsed="false">
      <c r="A11" s="3" t="str">
        <f aca="false">RPO!A4</f>
        <v>Сайт інтернет-магазину</v>
      </c>
      <c r="B11" s="3" t="str">
        <f aca="false">RPO!B4</f>
        <v>Висока</v>
      </c>
      <c r="C11" s="8" t="n">
        <f aca="false">RPO!E4</f>
        <v>15</v>
      </c>
      <c r="D11" s="8" t="n">
        <f aca="false">RTO!E4</f>
        <v>30</v>
      </c>
      <c r="E11" s="3" t="str">
        <f aca="false">IF(C11&lt;60,C11&amp;" хв",ROUND(C11/60,1)&amp;" год")</f>
        <v>15 хв</v>
      </c>
      <c r="F11" s="3" t="str">
        <f aca="false">IF(D11&lt;60,D11&amp;" хв",ROUND(D11/60,1)&amp;" год")</f>
        <v>30 хв</v>
      </c>
      <c r="G11" s="3" t="str">
        <f aca="false">IF(OR(B11="Висока",D11&lt;=60),"1 — відновлювати першою",IF(D11&lt;=240,"2 — після критичних систем","3 — планове відновлення"))</f>
        <v>1 — відновлювати першою</v>
      </c>
      <c r="H11" s="3" t="str">
        <f aca="false">IF(D11&gt;240,"Можна відновлювати пізніше",IF(C11&lt;=30,"Потрібна часта синхронізація","Потрібен контроль backup"))</f>
        <v>Потрібна часта синхронізація</v>
      </c>
    </row>
    <row r="12" customFormat="false" ht="24" hidden="false" customHeight="true" outlineLevel="0" collapsed="false">
      <c r="A12" s="3" t="str">
        <f aca="false">RPO!A5</f>
        <v>База замовлень</v>
      </c>
      <c r="B12" s="3" t="str">
        <f aca="false">RPO!B5</f>
        <v>Висока</v>
      </c>
      <c r="C12" s="8" t="n">
        <f aca="false">RPO!E5</f>
        <v>5</v>
      </c>
      <c r="D12" s="8" t="n">
        <f aca="false">RTO!E5</f>
        <v>60</v>
      </c>
      <c r="E12" s="3" t="str">
        <f aca="false">IF(C12&lt;60,C12&amp;" хв",ROUND(C12/60,1)&amp;" год")</f>
        <v>5 хв</v>
      </c>
      <c r="F12" s="3" t="str">
        <f aca="false">IF(D12&lt;60,D12&amp;" хв",ROUND(D12/60,1)&amp;" год")</f>
        <v>1 год</v>
      </c>
      <c r="G12" s="3" t="str">
        <f aca="false">IF(OR(B12="Висока",D12&lt;=60),"1 — відновлювати першою",IF(D12&lt;=240,"2 — після критичних систем","3 — планове відновлення"))</f>
        <v>1 — відновлювати першою</v>
      </c>
      <c r="H12" s="3" t="str">
        <f aca="false">IF(D12&gt;240,"Можна відновлювати пізніше",IF(C12&lt;=30,"Потрібна часта синхронізація","Потрібен контроль backup"))</f>
        <v>Потрібна часта синхронізація</v>
      </c>
    </row>
    <row r="13" customFormat="false" ht="24" hidden="false" customHeight="true" outlineLevel="0" collapsed="false">
      <c r="A13" s="3" t="str">
        <f aca="false">RPO!A6</f>
        <v>Платіжна інтеграція</v>
      </c>
      <c r="B13" s="3" t="str">
        <f aca="false">RPO!B6</f>
        <v>Висока</v>
      </c>
      <c r="C13" s="8" t="n">
        <f aca="false">RPO!E6</f>
        <v>5</v>
      </c>
      <c r="D13" s="8" t="n">
        <f aca="false">RTO!E6</f>
        <v>60</v>
      </c>
      <c r="E13" s="3" t="str">
        <f aca="false">IF(C13&lt;60,C13&amp;" хв",ROUND(C13/60,1)&amp;" год")</f>
        <v>5 хв</v>
      </c>
      <c r="F13" s="3" t="str">
        <f aca="false">IF(D13&lt;60,D13&amp;" хв",ROUND(D13/60,1)&amp;" год")</f>
        <v>1 год</v>
      </c>
      <c r="G13" s="3" t="str">
        <f aca="false">IF(OR(B13="Висока",D13&lt;=60),"1 — відновлювати першою",IF(D13&lt;=240,"2 — після критичних систем","3 — планове відновлення"))</f>
        <v>1 — відновлювати першою</v>
      </c>
      <c r="H13" s="3" t="str">
        <f aca="false">IF(D13&gt;240,"Можна відновлювати пізніше",IF(C13&lt;=30,"Потрібна часта синхронізація","Потрібен контроль backup"))</f>
        <v>Потрібна часта синхронізація</v>
      </c>
    </row>
    <row r="14" customFormat="false" ht="24" hidden="false" customHeight="true" outlineLevel="0" collapsed="false">
      <c r="A14" s="3" t="str">
        <f aca="false">RPO!A7</f>
        <v>Складський облік</v>
      </c>
      <c r="B14" s="3" t="str">
        <f aca="false">RPO!B7</f>
        <v>Середня</v>
      </c>
      <c r="C14" s="8" t="n">
        <f aca="false">RPO!E7</f>
        <v>30</v>
      </c>
      <c r="D14" s="8" t="n">
        <f aca="false">RTO!E7</f>
        <v>180</v>
      </c>
      <c r="E14" s="3" t="str">
        <f aca="false">IF(C14&lt;60,C14&amp;" хв",ROUND(C14/60,1)&amp;" год")</f>
        <v>30 хв</v>
      </c>
      <c r="F14" s="3" t="str">
        <f aca="false">IF(D14&lt;60,D14&amp;" хв",ROUND(D14/60,1)&amp;" год")</f>
        <v>3 год</v>
      </c>
      <c r="G14" s="3" t="str">
        <f aca="false">IF(OR(B14="Висока",D14&lt;=60),"1 — відновлювати першою",IF(D14&lt;=240,"2 — після критичних систем","3 — планове відновлення"))</f>
        <v>2 — після критичних систем</v>
      </c>
      <c r="H14" s="3" t="str">
        <f aca="false">IF(D14&gt;240,"Можна відновлювати пізніше",IF(C14&lt;=30,"Потрібна часта синхронізація","Потрібен контроль backup"))</f>
        <v>Потрібна часта синхронізація</v>
      </c>
    </row>
    <row r="15" customFormat="false" ht="24" hidden="false" customHeight="true" outlineLevel="0" collapsed="false">
      <c r="A15" s="3" t="str">
        <f aca="false">RPO!A8</f>
        <v>CRM та підтримка клієнтів</v>
      </c>
      <c r="B15" s="3" t="str">
        <f aca="false">RPO!B8</f>
        <v>Середня</v>
      </c>
      <c r="C15" s="8" t="n">
        <f aca="false">RPO!E8</f>
        <v>60</v>
      </c>
      <c r="D15" s="8" t="n">
        <f aca="false">RTO!E8</f>
        <v>240</v>
      </c>
      <c r="E15" s="3" t="str">
        <f aca="false">IF(C15&lt;60,C15&amp;" хв",ROUND(C15/60,1)&amp;" год")</f>
        <v>1 год</v>
      </c>
      <c r="F15" s="3" t="str">
        <f aca="false">IF(D15&lt;60,D15&amp;" хв",ROUND(D15/60,1)&amp;" год")</f>
        <v>4 год</v>
      </c>
      <c r="G15" s="3" t="str">
        <f aca="false">IF(OR(B15="Висока",D15&lt;=60),"1 — відновлювати першою",IF(D15&lt;=240,"2 — після критичних систем","3 — планове відновлення"))</f>
        <v>2 — після критичних систем</v>
      </c>
      <c r="H15" s="3" t="str">
        <f aca="false">IF(D15&gt;240,"Можна відновлювати пізніше",IF(C15&lt;=30,"Потрібна часта синхронізація","Потрібен контроль backup"))</f>
        <v>Потрібен контроль backup</v>
      </c>
    </row>
    <row r="16" customFormat="false" ht="24" hidden="false" customHeight="true" outlineLevel="0" collapsed="false">
      <c r="A16" s="3" t="str">
        <f aca="false">RPO!A9</f>
        <v>Файлове сховище документів</v>
      </c>
      <c r="B16" s="3" t="str">
        <f aca="false">RPO!B9</f>
        <v>Низька/середня</v>
      </c>
      <c r="C16" s="8" t="n">
        <f aca="false">RPO!E9</f>
        <v>720</v>
      </c>
      <c r="D16" s="8" t="n">
        <f aca="false">RTO!E9</f>
        <v>480</v>
      </c>
      <c r="E16" s="3" t="str">
        <f aca="false">IF(C16&lt;60,C16&amp;" хв",ROUND(C16/60,1)&amp;" год")</f>
        <v>12 год</v>
      </c>
      <c r="F16" s="3" t="str">
        <f aca="false">IF(D16&lt;60,D16&amp;" хв",ROUND(D16/60,1)&amp;" год")</f>
        <v>8 год</v>
      </c>
      <c r="G16" s="3" t="str">
        <f aca="false">IF(OR(B16="Висока",D16&lt;=60),"1 — відновлювати першою",IF(D16&lt;=240,"2 — після критичних систем","3 — планове відновлення"))</f>
        <v>3 — планове відновлення</v>
      </c>
      <c r="H16" s="3" t="str">
        <f aca="false">IF(D16&gt;240,"Можна відновлювати пізніше",IF(C16&lt;=30,"Потрібна часта синхронізація","Потрібен контроль backup"))</f>
        <v>Можна відновлювати пізніше</v>
      </c>
    </row>
    <row r="17" customFormat="false" ht="24" hidden="false" customHeight="true" outlineLevel="0" collapsed="false">
      <c r="A17" s="3" t="str">
        <f aca="false">RPO!A10</f>
        <v>Логи безпеки та системні журнали</v>
      </c>
      <c r="B17" s="3" t="str">
        <f aca="false">RPO!B10</f>
        <v>Середня</v>
      </c>
      <c r="C17" s="8" t="n">
        <f aca="false">RPO!E10</f>
        <v>1440</v>
      </c>
      <c r="D17" s="8" t="n">
        <f aca="false">RTO!E10</f>
        <v>720</v>
      </c>
      <c r="E17" s="3" t="str">
        <f aca="false">IF(C17&lt;60,C17&amp;" хв",ROUND(C17/60,1)&amp;" год")</f>
        <v>24 год</v>
      </c>
      <c r="F17" s="3" t="str">
        <f aca="false">IF(D17&lt;60,D17&amp;" хв",ROUND(D17/60,1)&amp;" год")</f>
        <v>12 год</v>
      </c>
      <c r="G17" s="3" t="str">
        <f aca="false">IF(OR(B17="Висока",D17&lt;=60),"1 — відновлювати першою",IF(D17&lt;=240,"2 — після критичних систем","3 — планове відновлення"))</f>
        <v>3 — планове відновлення</v>
      </c>
      <c r="H17" s="3" t="str">
        <f aca="false">IF(D17&gt;240,"Можна відновлювати пізніше",IF(C17&lt;=30,"Потрібна часта синхронізація","Потрібен контроль backup"))</f>
        <v>Можна відновлювати пізніше</v>
      </c>
    </row>
    <row r="18" customFormat="false" ht="44" hidden="false" customHeight="true" outlineLevel="0" collapsed="false">
      <c r="A18" s="9" t="s">
        <v>15</v>
      </c>
      <c r="B18" s="9"/>
      <c r="C18" s="9"/>
      <c r="D18" s="9"/>
      <c r="E18" s="9"/>
      <c r="F18" s="9"/>
      <c r="G18" s="9"/>
      <c r="H18" s="9"/>
    </row>
    <row r="19" customFormat="false" ht="24" hidden="false" customHeight="true" outlineLevel="0" collapsed="false">
      <c r="A19" s="3"/>
      <c r="B19" s="3"/>
      <c r="C19" s="3"/>
      <c r="D19" s="3"/>
      <c r="E19" s="3"/>
      <c r="F19" s="3"/>
      <c r="G19" s="3"/>
      <c r="H19" s="3"/>
    </row>
    <row r="20" customFormat="false" ht="24" hidden="false" customHeight="tru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24" hidden="false" customHeight="tru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24" hidden="false" customHeight="tru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24" hidden="false" customHeight="tru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24" hidden="false" customHeight="true" outlineLevel="0" collapsed="false">
      <c r="A24" s="3"/>
      <c r="B24" s="3"/>
      <c r="C24" s="3"/>
      <c r="D24" s="3"/>
      <c r="E24" s="3"/>
      <c r="F24" s="3"/>
      <c r="G24" s="3"/>
      <c r="H24" s="3"/>
    </row>
    <row r="25" customFormat="false" ht="24" hidden="false" customHeight="true" outlineLevel="0" collapsed="false">
      <c r="A25" s="3"/>
      <c r="B25" s="3"/>
      <c r="C25" s="3"/>
      <c r="D25" s="3"/>
      <c r="E25" s="3"/>
      <c r="F25" s="3"/>
      <c r="G25" s="3"/>
      <c r="H25" s="3"/>
    </row>
    <row r="26" customFormat="false" ht="24" hidden="false" customHeight="true" outlineLevel="0" collapsed="false">
      <c r="A26" s="3"/>
      <c r="B26" s="3"/>
      <c r="C26" s="3"/>
      <c r="D26" s="3"/>
      <c r="E26" s="3"/>
      <c r="F26" s="3"/>
      <c r="G26" s="3"/>
      <c r="H26" s="3"/>
    </row>
    <row r="27" customFormat="false" ht="24" hidden="false" customHeight="true" outlineLevel="0" collapsed="false">
      <c r="A27" s="3"/>
      <c r="B27" s="3"/>
      <c r="C27" s="3"/>
      <c r="D27" s="3"/>
      <c r="E27" s="3"/>
      <c r="F27" s="3"/>
      <c r="G27" s="3"/>
      <c r="H27" s="3"/>
    </row>
    <row r="28" customFormat="false" ht="24" hidden="false" customHeight="tru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24" hidden="false" customHeight="true" outlineLevel="0" collapsed="false">
      <c r="A29" s="3"/>
      <c r="B29" s="3"/>
      <c r="C29" s="3"/>
      <c r="D29" s="3"/>
      <c r="E29" s="3"/>
      <c r="F29" s="3"/>
      <c r="G29" s="3"/>
      <c r="H29" s="3"/>
    </row>
    <row r="30" customFormat="false" ht="24" hidden="false" customHeight="true" outlineLevel="0" collapsed="false">
      <c r="A30" s="3"/>
      <c r="B30" s="3"/>
      <c r="C30" s="3"/>
      <c r="D30" s="3"/>
      <c r="E30" s="3"/>
      <c r="F30" s="3"/>
      <c r="G30" s="3"/>
      <c r="H30" s="3"/>
    </row>
    <row r="31" customFormat="false" ht="24" hidden="false" customHeight="true" outlineLevel="0" collapsed="false">
      <c r="A31" s="3"/>
      <c r="B31" s="3"/>
      <c r="C31" s="3"/>
      <c r="D31" s="3"/>
      <c r="E31" s="3"/>
      <c r="F31" s="3"/>
      <c r="G31" s="3"/>
      <c r="H31" s="3"/>
    </row>
    <row r="32" customFormat="false" ht="24" hidden="false" customHeight="true" outlineLevel="0" collapsed="false">
      <c r="A32" s="3"/>
      <c r="B32" s="3"/>
      <c r="C32" s="3"/>
      <c r="D32" s="3"/>
      <c r="E32" s="3"/>
      <c r="F32" s="3"/>
      <c r="G32" s="3"/>
      <c r="H32" s="3"/>
    </row>
    <row r="33" customFormat="false" ht="24" hidden="false" customHeight="true" outlineLevel="0" collapsed="false">
      <c r="A33" s="3"/>
      <c r="B33" s="3"/>
      <c r="C33" s="3"/>
      <c r="D33" s="3"/>
      <c r="E33" s="3"/>
      <c r="F33" s="3"/>
      <c r="G33" s="3"/>
      <c r="H33" s="3"/>
    </row>
    <row r="34" customFormat="false" ht="24" hidden="false" customHeight="true" outlineLevel="0" collapsed="false">
      <c r="A34" s="3"/>
      <c r="B34" s="3"/>
      <c r="C34" s="3"/>
      <c r="D34" s="3"/>
      <c r="E34" s="3"/>
      <c r="F34" s="3"/>
      <c r="G34" s="3"/>
      <c r="H34" s="3"/>
    </row>
    <row r="35" customFormat="false" ht="24" hidden="false" customHeight="tru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24" hidden="false" customHeight="true" outlineLevel="0" collapsed="false">
      <c r="A36" s="3"/>
      <c r="B36" s="3"/>
      <c r="C36" s="3"/>
      <c r="D36" s="3"/>
      <c r="E36" s="3"/>
      <c r="F36" s="3"/>
      <c r="G36" s="3"/>
      <c r="H36" s="3"/>
    </row>
    <row r="37" customFormat="false" ht="24" hidden="false" customHeight="true" outlineLevel="0" collapsed="false">
      <c r="A37" s="3"/>
      <c r="B37" s="3"/>
      <c r="C37" s="3"/>
      <c r="D37" s="3"/>
      <c r="E37" s="3"/>
      <c r="F37" s="3"/>
      <c r="G37" s="3"/>
      <c r="H37" s="3"/>
    </row>
    <row r="38" customFormat="false" ht="24" hidden="false" customHeight="true" outlineLevel="0" collapsed="false">
      <c r="A38" s="3"/>
      <c r="B38" s="3"/>
      <c r="C38" s="3"/>
      <c r="D38" s="3"/>
      <c r="E38" s="3"/>
      <c r="F38" s="3"/>
      <c r="G38" s="3"/>
      <c r="H38" s="3"/>
    </row>
    <row r="39" customFormat="false" ht="24" hidden="false" customHeight="true" outlineLevel="0" collapsed="false">
      <c r="A39" s="3"/>
      <c r="B39" s="3"/>
      <c r="C39" s="3"/>
      <c r="D39" s="3"/>
      <c r="E39" s="3"/>
      <c r="F39" s="3"/>
      <c r="G39" s="3"/>
      <c r="H39" s="3"/>
    </row>
    <row r="40" customFormat="false" ht="24" hidden="false" customHeight="true" outlineLevel="0" collapsed="false">
      <c r="A40" s="3"/>
      <c r="B40" s="3"/>
      <c r="C40" s="3"/>
      <c r="D40" s="3"/>
      <c r="E40" s="3"/>
      <c r="F40" s="3"/>
      <c r="G40" s="3"/>
      <c r="H40" s="3"/>
    </row>
  </sheetData>
  <mergeCells count="12">
    <mergeCell ref="A1:H1"/>
    <mergeCell ref="A2:H3"/>
    <mergeCell ref="A5:B5"/>
    <mergeCell ref="C5:D5"/>
    <mergeCell ref="E5:F5"/>
    <mergeCell ref="G5:H5"/>
    <mergeCell ref="A6:B7"/>
    <mergeCell ref="C6:D7"/>
    <mergeCell ref="E6:F7"/>
    <mergeCell ref="G6:H7"/>
    <mergeCell ref="A9:H9"/>
    <mergeCell ref="A18:H18"/>
  </mergeCells>
  <conditionalFormatting sqref="B11:B17">
    <cfRule type="expression" priority="2" aboveAverage="0" equalAverage="0" bottom="0" percent="0" rank="0" text="" dxfId="0">
      <formula>B11="Висока"</formula>
    </cfRule>
    <cfRule type="expression" priority="3" aboveAverage="0" equalAverage="0" bottom="0" percent="0" rank="0" text="" dxfId="1">
      <formula>B11="Середня"</formula>
    </cfRule>
    <cfRule type="expression" priority="4" aboveAverage="0" equalAverage="0" bottom="0" percent="0" rank="0" text="" dxfId="2">
      <formula>B11="Низька/середня"</formula>
    </cfRule>
  </conditionalFormatting>
  <conditionalFormatting sqref="C11:D17">
    <cfRule type="colorScale" priority="5">
      <colorScale>
        <cfvo type="min" val="0"/>
        <cfvo type="percentile" val="50"/>
        <cfvo type="max" val="0"/>
        <color rgb="FFDCFCE7"/>
        <color rgb="FFFEF3C7"/>
        <color rgb="FFFEE2E2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4" min="3" style="0" width="17"/>
    <col collapsed="false" customWidth="true" hidden="false" outlineLevel="0" max="6" min="5" style="0" width="12"/>
    <col collapsed="false" customWidth="true" hidden="false" outlineLevel="0" max="8" min="7" style="0" width="42"/>
  </cols>
  <sheetData>
    <row r="1" customFormat="false" ht="30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</row>
    <row r="2" customFormat="false" ht="24" hidden="false" customHeight="true" outlineLevel="0" collapsed="false">
      <c r="A2" s="3"/>
      <c r="B2" s="3"/>
      <c r="C2" s="3"/>
      <c r="D2" s="3"/>
      <c r="E2" s="3"/>
      <c r="F2" s="3"/>
      <c r="G2" s="3"/>
      <c r="H2" s="3"/>
    </row>
    <row r="3" customFormat="false" ht="24" hidden="false" customHeight="true" outlineLevel="0" collapsed="false">
      <c r="A3" s="7" t="s">
        <v>7</v>
      </c>
      <c r="B3" s="7" t="s">
        <v>8</v>
      </c>
      <c r="C3" s="7" t="s">
        <v>17</v>
      </c>
      <c r="D3" s="7" t="s">
        <v>18</v>
      </c>
      <c r="E3" s="7" t="s">
        <v>9</v>
      </c>
      <c r="F3" s="7" t="s">
        <v>11</v>
      </c>
      <c r="G3" s="7" t="s">
        <v>19</v>
      </c>
      <c r="H3" s="7" t="s">
        <v>20</v>
      </c>
    </row>
    <row r="4" customFormat="false" ht="24" hidden="false" customHeight="true" outlineLevel="0" collapsed="false">
      <c r="A4" s="3" t="s">
        <v>21</v>
      </c>
      <c r="B4" s="3" t="s">
        <v>22</v>
      </c>
      <c r="C4" s="8" t="n">
        <v>15</v>
      </c>
      <c r="D4" s="8" t="n">
        <v>0</v>
      </c>
      <c r="E4" s="8" t="n">
        <f aca="false">C4+D4</f>
        <v>15</v>
      </c>
      <c r="F4" s="3" t="str">
        <f aca="false">IF(E4&lt;60,E4&amp;" хв",ROUND(E4/60,1)&amp;" год")</f>
        <v>15 хв</v>
      </c>
      <c r="G4" s="3" t="s">
        <v>23</v>
      </c>
      <c r="H4" s="3" t="s">
        <v>24</v>
      </c>
    </row>
    <row r="5" customFormat="false" ht="24" hidden="false" customHeight="true" outlineLevel="0" collapsed="false">
      <c r="A5" s="3" t="s">
        <v>25</v>
      </c>
      <c r="B5" s="3" t="s">
        <v>22</v>
      </c>
      <c r="C5" s="8" t="n">
        <v>5</v>
      </c>
      <c r="D5" s="8" t="n">
        <v>0</v>
      </c>
      <c r="E5" s="8" t="n">
        <f aca="false">C5+D5</f>
        <v>5</v>
      </c>
      <c r="F5" s="3" t="str">
        <f aca="false">IF(E5&lt;60,E5&amp;" хв",ROUND(E5/60,1)&amp;" год")</f>
        <v>5 хв</v>
      </c>
      <c r="G5" s="3" t="s">
        <v>26</v>
      </c>
      <c r="H5" s="3" t="s">
        <v>27</v>
      </c>
    </row>
    <row r="6" customFormat="false" ht="24" hidden="false" customHeight="true" outlineLevel="0" collapsed="false">
      <c r="A6" s="3" t="s">
        <v>28</v>
      </c>
      <c r="B6" s="3" t="s">
        <v>22</v>
      </c>
      <c r="C6" s="8" t="n">
        <v>5</v>
      </c>
      <c r="D6" s="8" t="n">
        <v>0</v>
      </c>
      <c r="E6" s="8" t="n">
        <f aca="false">C6+D6</f>
        <v>5</v>
      </c>
      <c r="F6" s="3" t="str">
        <f aca="false">IF(E6&lt;60,E6&amp;" хв",ROUND(E6/60,1)&amp;" год")</f>
        <v>5 хв</v>
      </c>
      <c r="G6" s="3" t="s">
        <v>29</v>
      </c>
      <c r="H6" s="3" t="s">
        <v>30</v>
      </c>
    </row>
    <row r="7" customFormat="false" ht="24" hidden="false" customHeight="true" outlineLevel="0" collapsed="false">
      <c r="A7" s="3" t="s">
        <v>31</v>
      </c>
      <c r="B7" s="3" t="s">
        <v>32</v>
      </c>
      <c r="C7" s="8" t="n">
        <v>30</v>
      </c>
      <c r="D7" s="8" t="n">
        <v>0</v>
      </c>
      <c r="E7" s="8" t="n">
        <f aca="false">C7+D7</f>
        <v>30</v>
      </c>
      <c r="F7" s="3" t="str">
        <f aca="false">IF(E7&lt;60,E7&amp;" хв",ROUND(E7/60,1)&amp;" год")</f>
        <v>30 хв</v>
      </c>
      <c r="G7" s="3" t="s">
        <v>33</v>
      </c>
      <c r="H7" s="3" t="s">
        <v>34</v>
      </c>
    </row>
    <row r="8" customFormat="false" ht="24" hidden="false" customHeight="true" outlineLevel="0" collapsed="false">
      <c r="A8" s="3" t="s">
        <v>35</v>
      </c>
      <c r="B8" s="3" t="s">
        <v>32</v>
      </c>
      <c r="C8" s="8" t="n">
        <v>60</v>
      </c>
      <c r="D8" s="8" t="n">
        <v>0</v>
      </c>
      <c r="E8" s="8" t="n">
        <f aca="false">C8+D8</f>
        <v>60</v>
      </c>
      <c r="F8" s="3" t="str">
        <f aca="false">IF(E8&lt;60,E8&amp;" хв",ROUND(E8/60,1)&amp;" год")</f>
        <v>1 год</v>
      </c>
      <c r="G8" s="3" t="s">
        <v>36</v>
      </c>
      <c r="H8" s="3" t="s">
        <v>37</v>
      </c>
    </row>
    <row r="9" customFormat="false" ht="24" hidden="false" customHeight="true" outlineLevel="0" collapsed="false">
      <c r="A9" s="3" t="s">
        <v>38</v>
      </c>
      <c r="B9" s="3" t="s">
        <v>39</v>
      </c>
      <c r="C9" s="8" t="n">
        <v>720</v>
      </c>
      <c r="D9" s="8" t="n">
        <v>0</v>
      </c>
      <c r="E9" s="8" t="n">
        <f aca="false">C9+D9</f>
        <v>720</v>
      </c>
      <c r="F9" s="3" t="str">
        <f aca="false">IF(E9&lt;60,E9&amp;" хв",ROUND(E9/60,1)&amp;" год")</f>
        <v>12 год</v>
      </c>
      <c r="G9" s="3" t="s">
        <v>40</v>
      </c>
      <c r="H9" s="3" t="s">
        <v>41</v>
      </c>
    </row>
    <row r="10" customFormat="false" ht="24" hidden="false" customHeight="true" outlineLevel="0" collapsed="false">
      <c r="A10" s="3" t="s">
        <v>42</v>
      </c>
      <c r="B10" s="3" t="s">
        <v>32</v>
      </c>
      <c r="C10" s="8" t="n">
        <v>1440</v>
      </c>
      <c r="D10" s="8" t="n">
        <v>0</v>
      </c>
      <c r="E10" s="8" t="n">
        <f aca="false">C10+D10</f>
        <v>1440</v>
      </c>
      <c r="F10" s="3" t="str">
        <f aca="false">IF(E10&lt;60,E10&amp;" хв",ROUND(E10/60,1)&amp;" год")</f>
        <v>24 год</v>
      </c>
      <c r="G10" s="3" t="s">
        <v>43</v>
      </c>
      <c r="H10" s="3" t="s">
        <v>44</v>
      </c>
    </row>
    <row r="11" customFormat="false" ht="24" hidden="false" customHeight="true" outlineLevel="0" collapsed="false">
      <c r="A11" s="3"/>
      <c r="B11" s="3"/>
      <c r="C11" s="3"/>
      <c r="D11" s="3"/>
      <c r="E11" s="3"/>
      <c r="F11" s="3"/>
      <c r="G11" s="3"/>
      <c r="H11" s="3"/>
    </row>
    <row r="12" customFormat="false" ht="24" hidden="false" customHeight="tru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24" hidden="false" customHeight="tru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24" hidden="false" customHeight="tru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24" hidden="false" customHeight="true" outlineLevel="0" collapsed="false">
      <c r="A15" s="3"/>
      <c r="B15" s="3"/>
      <c r="C15" s="3"/>
      <c r="D15" s="3"/>
      <c r="E15" s="3"/>
      <c r="F15" s="3"/>
      <c r="G15" s="3"/>
      <c r="H15" s="3"/>
    </row>
    <row r="16" customFormat="false" ht="24" hidden="false" customHeight="true" outlineLevel="0" collapsed="false">
      <c r="A16" s="3"/>
      <c r="B16" s="3"/>
      <c r="C16" s="3"/>
      <c r="D16" s="3"/>
      <c r="E16" s="3"/>
      <c r="F16" s="3"/>
      <c r="G16" s="3"/>
      <c r="H16" s="3"/>
    </row>
    <row r="17" customFormat="false" ht="24" hidden="false" customHeight="true" outlineLevel="0" collapsed="false">
      <c r="A17" s="3"/>
      <c r="B17" s="3"/>
      <c r="C17" s="3"/>
      <c r="D17" s="3"/>
      <c r="E17" s="3"/>
      <c r="F17" s="3"/>
      <c r="G17" s="3"/>
      <c r="H17" s="3"/>
    </row>
    <row r="18" customFormat="false" ht="24" hidden="false" customHeight="tru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24" hidden="false" customHeight="true" outlineLevel="0" collapsed="false">
      <c r="A19" s="3"/>
      <c r="B19" s="3"/>
      <c r="C19" s="3"/>
      <c r="D19" s="3"/>
      <c r="E19" s="3"/>
      <c r="F19" s="3"/>
      <c r="G19" s="3"/>
      <c r="H19" s="3"/>
    </row>
    <row r="20" customFormat="false" ht="24" hidden="false" customHeight="tru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24" hidden="false" customHeight="tru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24" hidden="false" customHeight="tru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24" hidden="false" customHeight="tru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24" hidden="false" customHeight="true" outlineLevel="0" collapsed="false">
      <c r="A24" s="3"/>
      <c r="B24" s="3"/>
      <c r="C24" s="3"/>
      <c r="D24" s="3"/>
      <c r="E24" s="3"/>
      <c r="F24" s="3"/>
      <c r="G24" s="3"/>
      <c r="H24" s="3"/>
    </row>
    <row r="25" customFormat="false" ht="24" hidden="false" customHeight="true" outlineLevel="0" collapsed="false">
      <c r="A25" s="3"/>
      <c r="B25" s="3"/>
      <c r="C25" s="3"/>
      <c r="D25" s="3"/>
      <c r="E25" s="3"/>
      <c r="F25" s="3"/>
      <c r="G25" s="3"/>
      <c r="H25" s="3"/>
    </row>
    <row r="26" customFormat="false" ht="24" hidden="false" customHeight="true" outlineLevel="0" collapsed="false">
      <c r="A26" s="3"/>
      <c r="B26" s="3"/>
      <c r="C26" s="3"/>
      <c r="D26" s="3"/>
      <c r="E26" s="3"/>
      <c r="F26" s="3"/>
      <c r="G26" s="3"/>
      <c r="H26" s="3"/>
    </row>
    <row r="27" customFormat="false" ht="24" hidden="false" customHeight="true" outlineLevel="0" collapsed="false">
      <c r="A27" s="3"/>
      <c r="B27" s="3"/>
      <c r="C27" s="3"/>
      <c r="D27" s="3"/>
      <c r="E27" s="3"/>
      <c r="F27" s="3"/>
      <c r="G27" s="3"/>
      <c r="H27" s="3"/>
    </row>
    <row r="28" customFormat="false" ht="24" hidden="false" customHeight="tru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24" hidden="false" customHeight="true" outlineLevel="0" collapsed="false">
      <c r="A29" s="3"/>
      <c r="B29" s="3"/>
      <c r="C29" s="3"/>
      <c r="D29" s="3"/>
      <c r="E29" s="3"/>
      <c r="F29" s="3"/>
      <c r="G29" s="3"/>
      <c r="H29" s="3"/>
    </row>
    <row r="30" customFormat="false" ht="24" hidden="false" customHeight="true" outlineLevel="0" collapsed="false">
      <c r="A30" s="3"/>
      <c r="B30" s="3"/>
      <c r="C30" s="3"/>
      <c r="D30" s="3"/>
      <c r="E30" s="3"/>
      <c r="F30" s="3"/>
      <c r="G30" s="3"/>
      <c r="H30" s="3"/>
    </row>
    <row r="31" customFormat="false" ht="24" hidden="false" customHeight="true" outlineLevel="0" collapsed="false">
      <c r="A31" s="3"/>
      <c r="B31" s="3"/>
      <c r="C31" s="3"/>
      <c r="D31" s="3"/>
      <c r="E31" s="3"/>
      <c r="F31" s="3"/>
      <c r="G31" s="3"/>
      <c r="H31" s="3"/>
    </row>
    <row r="32" customFormat="false" ht="24" hidden="false" customHeight="true" outlineLevel="0" collapsed="false">
      <c r="A32" s="3"/>
      <c r="B32" s="3"/>
      <c r="C32" s="3"/>
      <c r="D32" s="3"/>
      <c r="E32" s="3"/>
      <c r="F32" s="3"/>
      <c r="G32" s="3"/>
      <c r="H32" s="3"/>
    </row>
    <row r="33" customFormat="false" ht="24" hidden="false" customHeight="true" outlineLevel="0" collapsed="false">
      <c r="A33" s="3"/>
      <c r="B33" s="3"/>
      <c r="C33" s="3"/>
      <c r="D33" s="3"/>
      <c r="E33" s="3"/>
      <c r="F33" s="3"/>
      <c r="G33" s="3"/>
      <c r="H33" s="3"/>
    </row>
    <row r="34" customFormat="false" ht="24" hidden="false" customHeight="true" outlineLevel="0" collapsed="false">
      <c r="A34" s="3"/>
      <c r="B34" s="3"/>
      <c r="C34" s="3"/>
      <c r="D34" s="3"/>
      <c r="E34" s="3"/>
      <c r="F34" s="3"/>
      <c r="G34" s="3"/>
      <c r="H34" s="3"/>
    </row>
    <row r="35" customFormat="false" ht="24" hidden="false" customHeight="tru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24" hidden="false" customHeight="true" outlineLevel="0" collapsed="false">
      <c r="A36" s="3"/>
      <c r="B36" s="3"/>
      <c r="C36" s="3"/>
      <c r="D36" s="3"/>
      <c r="E36" s="3"/>
      <c r="F36" s="3"/>
      <c r="G36" s="3"/>
      <c r="H36" s="3"/>
    </row>
    <row r="37" customFormat="false" ht="24" hidden="false" customHeight="true" outlineLevel="0" collapsed="false">
      <c r="A37" s="3"/>
      <c r="B37" s="3"/>
      <c r="C37" s="3"/>
      <c r="D37" s="3"/>
      <c r="E37" s="3"/>
      <c r="F37" s="3"/>
      <c r="G37" s="3"/>
      <c r="H37" s="3"/>
    </row>
    <row r="38" customFormat="false" ht="24" hidden="false" customHeight="true" outlineLevel="0" collapsed="false">
      <c r="A38" s="3"/>
      <c r="B38" s="3"/>
      <c r="C38" s="3"/>
      <c r="D38" s="3"/>
      <c r="E38" s="3"/>
      <c r="F38" s="3"/>
      <c r="G38" s="3"/>
      <c r="H38" s="3"/>
    </row>
    <row r="39" customFormat="false" ht="24" hidden="false" customHeight="true" outlineLevel="0" collapsed="false">
      <c r="A39" s="3"/>
      <c r="B39" s="3"/>
      <c r="C39" s="3"/>
      <c r="D39" s="3"/>
      <c r="E39" s="3"/>
      <c r="F39" s="3"/>
      <c r="G39" s="3"/>
      <c r="H39" s="3"/>
    </row>
    <row r="40" customFormat="false" ht="24" hidden="false" customHeight="true" outlineLevel="0" collapsed="false">
      <c r="A40" s="3"/>
      <c r="B40" s="3"/>
      <c r="C40" s="3"/>
      <c r="D40" s="3"/>
      <c r="E40" s="3"/>
      <c r="F40" s="3"/>
      <c r="G40" s="3"/>
      <c r="H40" s="3"/>
    </row>
  </sheetData>
  <mergeCells count="1">
    <mergeCell ref="A1:H1"/>
  </mergeCells>
  <conditionalFormatting sqref="B4:B10">
    <cfRule type="expression" priority="2" aboveAverage="0" equalAverage="0" bottom="0" percent="0" rank="0" text="" dxfId="15">
      <formula>B4="Висока"</formula>
    </cfRule>
    <cfRule type="expression" priority="3" aboveAverage="0" equalAverage="0" bottom="0" percent="0" rank="0" text="" dxfId="16">
      <formula>B4="Середня"</formula>
    </cfRule>
    <cfRule type="expression" priority="4" aboveAverage="0" equalAverage="0" bottom="0" percent="0" rank="0" text="" dxfId="17">
      <formula>B4="Низька/середня"</formula>
    </cfRule>
  </conditionalFormatting>
  <conditionalFormatting sqref="E4:E10">
    <cfRule type="colorScale" priority="5">
      <colorScale>
        <cfvo type="min" val="0"/>
        <cfvo type="percentile" val="50"/>
        <cfvo type="max" val="0"/>
        <color rgb="FFDCFCE7"/>
        <color rgb="FFFEF3C7"/>
        <color rgb="FFFEE2E2"/>
      </colorScale>
    </cfRule>
  </conditionalFormatting>
  <dataValidations count="1">
    <dataValidation allowBlank="false" errorStyle="stop" operator="between" showDropDown="false" showErrorMessage="false" showInputMessage="false" sqref="B4:B10" type="list">
      <formula1>"Висока,Середня,Низька/середня"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4" min="3" style="0" width="17"/>
    <col collapsed="false" customWidth="true" hidden="false" outlineLevel="0" max="6" min="5" style="0" width="12"/>
    <col collapsed="false" customWidth="true" hidden="false" outlineLevel="0" max="8" min="7" style="0" width="42"/>
  </cols>
  <sheetData>
    <row r="1" customFormat="false" ht="30" hidden="false" customHeight="true" outlineLevel="0" collapsed="false">
      <c r="A1" s="1" t="s">
        <v>45</v>
      </c>
      <c r="B1" s="1"/>
      <c r="C1" s="1"/>
      <c r="D1" s="1"/>
      <c r="E1" s="1"/>
      <c r="F1" s="1"/>
      <c r="G1" s="1"/>
      <c r="H1" s="1"/>
    </row>
    <row r="2" customFormat="false" ht="24" hidden="false" customHeight="true" outlineLevel="0" collapsed="false">
      <c r="A2" s="3"/>
      <c r="B2" s="3"/>
      <c r="C2" s="3"/>
      <c r="D2" s="3"/>
      <c r="E2" s="3"/>
      <c r="F2" s="3"/>
      <c r="G2" s="3"/>
      <c r="H2" s="3"/>
    </row>
    <row r="3" customFormat="false" ht="24" hidden="false" customHeight="true" outlineLevel="0" collapsed="false">
      <c r="A3" s="7" t="s">
        <v>7</v>
      </c>
      <c r="B3" s="7" t="s">
        <v>8</v>
      </c>
      <c r="C3" s="7" t="s">
        <v>46</v>
      </c>
      <c r="D3" s="7" t="s">
        <v>47</v>
      </c>
      <c r="E3" s="7" t="s">
        <v>10</v>
      </c>
      <c r="F3" s="7" t="s">
        <v>12</v>
      </c>
      <c r="G3" s="7" t="s">
        <v>19</v>
      </c>
      <c r="H3" s="7" t="s">
        <v>48</v>
      </c>
    </row>
    <row r="4" customFormat="false" ht="24" hidden="false" customHeight="true" outlineLevel="0" collapsed="false">
      <c r="A4" s="3" t="s">
        <v>21</v>
      </c>
      <c r="B4" s="3" t="s">
        <v>22</v>
      </c>
      <c r="C4" s="8" t="n">
        <v>20</v>
      </c>
      <c r="D4" s="8" t="n">
        <v>10</v>
      </c>
      <c r="E4" s="8" t="n">
        <f aca="false">C4+D4</f>
        <v>30</v>
      </c>
      <c r="F4" s="3" t="str">
        <f aca="false">IF(E4&lt;60,E4&amp;" хв",ROUND(E4/60,1)&amp;" год")</f>
        <v>30 хв</v>
      </c>
      <c r="G4" s="3" t="s">
        <v>49</v>
      </c>
      <c r="H4" s="3" t="s">
        <v>50</v>
      </c>
    </row>
    <row r="5" customFormat="false" ht="24" hidden="false" customHeight="true" outlineLevel="0" collapsed="false">
      <c r="A5" s="3" t="s">
        <v>25</v>
      </c>
      <c r="B5" s="3" t="s">
        <v>22</v>
      </c>
      <c r="C5" s="8" t="n">
        <v>40</v>
      </c>
      <c r="D5" s="8" t="n">
        <v>20</v>
      </c>
      <c r="E5" s="8" t="n">
        <f aca="false">C5+D5</f>
        <v>60</v>
      </c>
      <c r="F5" s="3" t="str">
        <f aca="false">IF(E5&lt;60,E5&amp;" хв",ROUND(E5/60,1)&amp;" год")</f>
        <v>1 год</v>
      </c>
      <c r="G5" s="3" t="s">
        <v>51</v>
      </c>
      <c r="H5" s="3" t="s">
        <v>52</v>
      </c>
    </row>
    <row r="6" customFormat="false" ht="24" hidden="false" customHeight="true" outlineLevel="0" collapsed="false">
      <c r="A6" s="3" t="s">
        <v>28</v>
      </c>
      <c r="B6" s="3" t="s">
        <v>22</v>
      </c>
      <c r="C6" s="8" t="n">
        <v>45</v>
      </c>
      <c r="D6" s="8" t="n">
        <v>15</v>
      </c>
      <c r="E6" s="8" t="n">
        <f aca="false">C6+D6</f>
        <v>60</v>
      </c>
      <c r="F6" s="3" t="str">
        <f aca="false">IF(E6&lt;60,E6&amp;" хв",ROUND(E6/60,1)&amp;" год")</f>
        <v>1 год</v>
      </c>
      <c r="G6" s="3" t="s">
        <v>53</v>
      </c>
      <c r="H6" s="3" t="s">
        <v>54</v>
      </c>
    </row>
    <row r="7" customFormat="false" ht="24" hidden="false" customHeight="true" outlineLevel="0" collapsed="false">
      <c r="A7" s="3" t="s">
        <v>31</v>
      </c>
      <c r="B7" s="3" t="s">
        <v>32</v>
      </c>
      <c r="C7" s="8" t="n">
        <v>120</v>
      </c>
      <c r="D7" s="8" t="n">
        <v>60</v>
      </c>
      <c r="E7" s="8" t="n">
        <f aca="false">C7+D7</f>
        <v>180</v>
      </c>
      <c r="F7" s="3" t="str">
        <f aca="false">IF(E7&lt;60,E7&amp;" хв",ROUND(E7/60,1)&amp;" год")</f>
        <v>3 год</v>
      </c>
      <c r="G7" s="3" t="s">
        <v>55</v>
      </c>
      <c r="H7" s="3" t="s">
        <v>56</v>
      </c>
    </row>
    <row r="8" customFormat="false" ht="24" hidden="false" customHeight="true" outlineLevel="0" collapsed="false">
      <c r="A8" s="3" t="s">
        <v>35</v>
      </c>
      <c r="B8" s="3" t="s">
        <v>32</v>
      </c>
      <c r="C8" s="8" t="n">
        <v>180</v>
      </c>
      <c r="D8" s="8" t="n">
        <v>60</v>
      </c>
      <c r="E8" s="8" t="n">
        <f aca="false">C8+D8</f>
        <v>240</v>
      </c>
      <c r="F8" s="3" t="str">
        <f aca="false">IF(E8&lt;60,E8&amp;" хв",ROUND(E8/60,1)&amp;" год")</f>
        <v>4 год</v>
      </c>
      <c r="G8" s="3" t="s">
        <v>57</v>
      </c>
      <c r="H8" s="3" t="s">
        <v>58</v>
      </c>
    </row>
    <row r="9" customFormat="false" ht="24" hidden="false" customHeight="true" outlineLevel="0" collapsed="false">
      <c r="A9" s="3" t="s">
        <v>38</v>
      </c>
      <c r="B9" s="3" t="s">
        <v>39</v>
      </c>
      <c r="C9" s="8" t="n">
        <v>360</v>
      </c>
      <c r="D9" s="8" t="n">
        <v>120</v>
      </c>
      <c r="E9" s="8" t="n">
        <f aca="false">C9+D9</f>
        <v>480</v>
      </c>
      <c r="F9" s="3" t="str">
        <f aca="false">IF(E9&lt;60,E9&amp;" хв",ROUND(E9/60,1)&amp;" год")</f>
        <v>8 год</v>
      </c>
      <c r="G9" s="3" t="s">
        <v>59</v>
      </c>
      <c r="H9" s="3" t="s">
        <v>60</v>
      </c>
    </row>
    <row r="10" customFormat="false" ht="24" hidden="false" customHeight="true" outlineLevel="0" collapsed="false">
      <c r="A10" s="3" t="s">
        <v>42</v>
      </c>
      <c r="B10" s="3" t="s">
        <v>32</v>
      </c>
      <c r="C10" s="8" t="n">
        <v>480</v>
      </c>
      <c r="D10" s="8" t="n">
        <v>240</v>
      </c>
      <c r="E10" s="8" t="n">
        <f aca="false">C10+D10</f>
        <v>720</v>
      </c>
      <c r="F10" s="3" t="str">
        <f aca="false">IF(E10&lt;60,E10&amp;" хв",ROUND(E10/60,1)&amp;" год")</f>
        <v>12 год</v>
      </c>
      <c r="G10" s="3" t="s">
        <v>61</v>
      </c>
      <c r="H10" s="3" t="s">
        <v>62</v>
      </c>
    </row>
    <row r="11" customFormat="false" ht="24" hidden="false" customHeight="true" outlineLevel="0" collapsed="false">
      <c r="A11" s="3"/>
      <c r="B11" s="3"/>
      <c r="C11" s="3"/>
      <c r="D11" s="3"/>
      <c r="E11" s="3"/>
      <c r="F11" s="3"/>
      <c r="G11" s="3"/>
      <c r="H11" s="3"/>
    </row>
    <row r="12" customFormat="false" ht="24" hidden="false" customHeight="tru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24" hidden="false" customHeight="tru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24" hidden="false" customHeight="tru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24" hidden="false" customHeight="true" outlineLevel="0" collapsed="false">
      <c r="A15" s="3"/>
      <c r="B15" s="3"/>
      <c r="C15" s="3"/>
      <c r="D15" s="3"/>
      <c r="E15" s="3"/>
      <c r="F15" s="3"/>
      <c r="G15" s="3"/>
      <c r="H15" s="3"/>
    </row>
    <row r="16" customFormat="false" ht="24" hidden="false" customHeight="true" outlineLevel="0" collapsed="false">
      <c r="A16" s="3"/>
      <c r="B16" s="3"/>
      <c r="C16" s="3"/>
      <c r="D16" s="3"/>
      <c r="E16" s="3"/>
      <c r="F16" s="3"/>
      <c r="G16" s="3"/>
      <c r="H16" s="3"/>
    </row>
    <row r="17" customFormat="false" ht="24" hidden="false" customHeight="true" outlineLevel="0" collapsed="false">
      <c r="A17" s="3"/>
      <c r="B17" s="3"/>
      <c r="C17" s="3"/>
      <c r="D17" s="3"/>
      <c r="E17" s="3"/>
      <c r="F17" s="3"/>
      <c r="G17" s="3"/>
      <c r="H17" s="3"/>
    </row>
    <row r="18" customFormat="false" ht="24" hidden="false" customHeight="tru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24" hidden="false" customHeight="true" outlineLevel="0" collapsed="false">
      <c r="A19" s="3"/>
      <c r="B19" s="3"/>
      <c r="C19" s="3"/>
      <c r="D19" s="3"/>
      <c r="E19" s="3"/>
      <c r="F19" s="3"/>
      <c r="G19" s="3"/>
      <c r="H19" s="3"/>
    </row>
    <row r="20" customFormat="false" ht="24" hidden="false" customHeight="tru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24" hidden="false" customHeight="tru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24" hidden="false" customHeight="tru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24" hidden="false" customHeight="tru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24" hidden="false" customHeight="true" outlineLevel="0" collapsed="false">
      <c r="A24" s="3"/>
      <c r="B24" s="3"/>
      <c r="C24" s="3"/>
      <c r="D24" s="3"/>
      <c r="E24" s="3"/>
      <c r="F24" s="3"/>
      <c r="G24" s="3"/>
      <c r="H24" s="3"/>
    </row>
    <row r="25" customFormat="false" ht="24" hidden="false" customHeight="true" outlineLevel="0" collapsed="false">
      <c r="A25" s="3"/>
      <c r="B25" s="3"/>
      <c r="C25" s="3"/>
      <c r="D25" s="3"/>
      <c r="E25" s="3"/>
      <c r="F25" s="3"/>
      <c r="G25" s="3"/>
      <c r="H25" s="3"/>
    </row>
    <row r="26" customFormat="false" ht="24" hidden="false" customHeight="true" outlineLevel="0" collapsed="false">
      <c r="A26" s="3"/>
      <c r="B26" s="3"/>
      <c r="C26" s="3"/>
      <c r="D26" s="3"/>
      <c r="E26" s="3"/>
      <c r="F26" s="3"/>
      <c r="G26" s="3"/>
      <c r="H26" s="3"/>
    </row>
    <row r="27" customFormat="false" ht="24" hidden="false" customHeight="true" outlineLevel="0" collapsed="false">
      <c r="A27" s="3"/>
      <c r="B27" s="3"/>
      <c r="C27" s="3"/>
      <c r="D27" s="3"/>
      <c r="E27" s="3"/>
      <c r="F27" s="3"/>
      <c r="G27" s="3"/>
      <c r="H27" s="3"/>
    </row>
    <row r="28" customFormat="false" ht="24" hidden="false" customHeight="tru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24" hidden="false" customHeight="true" outlineLevel="0" collapsed="false">
      <c r="A29" s="3"/>
      <c r="B29" s="3"/>
      <c r="C29" s="3"/>
      <c r="D29" s="3"/>
      <c r="E29" s="3"/>
      <c r="F29" s="3"/>
      <c r="G29" s="3"/>
      <c r="H29" s="3"/>
    </row>
    <row r="30" customFormat="false" ht="24" hidden="false" customHeight="true" outlineLevel="0" collapsed="false">
      <c r="A30" s="3"/>
      <c r="B30" s="3"/>
      <c r="C30" s="3"/>
      <c r="D30" s="3"/>
      <c r="E30" s="3"/>
      <c r="F30" s="3"/>
      <c r="G30" s="3"/>
      <c r="H30" s="3"/>
    </row>
    <row r="31" customFormat="false" ht="24" hidden="false" customHeight="true" outlineLevel="0" collapsed="false">
      <c r="A31" s="3"/>
      <c r="B31" s="3"/>
      <c r="C31" s="3"/>
      <c r="D31" s="3"/>
      <c r="E31" s="3"/>
      <c r="F31" s="3"/>
      <c r="G31" s="3"/>
      <c r="H31" s="3"/>
    </row>
    <row r="32" customFormat="false" ht="24" hidden="false" customHeight="true" outlineLevel="0" collapsed="false">
      <c r="A32" s="3"/>
      <c r="B32" s="3"/>
      <c r="C32" s="3"/>
      <c r="D32" s="3"/>
      <c r="E32" s="3"/>
      <c r="F32" s="3"/>
      <c r="G32" s="3"/>
      <c r="H32" s="3"/>
    </row>
    <row r="33" customFormat="false" ht="24" hidden="false" customHeight="true" outlineLevel="0" collapsed="false">
      <c r="A33" s="3"/>
      <c r="B33" s="3"/>
      <c r="C33" s="3"/>
      <c r="D33" s="3"/>
      <c r="E33" s="3"/>
      <c r="F33" s="3"/>
      <c r="G33" s="3"/>
      <c r="H33" s="3"/>
    </row>
    <row r="34" customFormat="false" ht="24" hidden="false" customHeight="true" outlineLevel="0" collapsed="false">
      <c r="A34" s="3"/>
      <c r="B34" s="3"/>
      <c r="C34" s="3"/>
      <c r="D34" s="3"/>
      <c r="E34" s="3"/>
      <c r="F34" s="3"/>
      <c r="G34" s="3"/>
      <c r="H34" s="3"/>
    </row>
    <row r="35" customFormat="false" ht="24" hidden="false" customHeight="tru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24" hidden="false" customHeight="true" outlineLevel="0" collapsed="false">
      <c r="A36" s="3"/>
      <c r="B36" s="3"/>
      <c r="C36" s="3"/>
      <c r="D36" s="3"/>
      <c r="E36" s="3"/>
      <c r="F36" s="3"/>
      <c r="G36" s="3"/>
      <c r="H36" s="3"/>
    </row>
    <row r="37" customFormat="false" ht="24" hidden="false" customHeight="true" outlineLevel="0" collapsed="false">
      <c r="A37" s="3"/>
      <c r="B37" s="3"/>
      <c r="C37" s="3"/>
      <c r="D37" s="3"/>
      <c r="E37" s="3"/>
      <c r="F37" s="3"/>
      <c r="G37" s="3"/>
      <c r="H37" s="3"/>
    </row>
    <row r="38" customFormat="false" ht="24" hidden="false" customHeight="true" outlineLevel="0" collapsed="false">
      <c r="A38" s="3"/>
      <c r="B38" s="3"/>
      <c r="C38" s="3"/>
      <c r="D38" s="3"/>
      <c r="E38" s="3"/>
      <c r="F38" s="3"/>
      <c r="G38" s="3"/>
      <c r="H38" s="3"/>
    </row>
    <row r="39" customFormat="false" ht="24" hidden="false" customHeight="true" outlineLevel="0" collapsed="false">
      <c r="A39" s="3"/>
      <c r="B39" s="3"/>
      <c r="C39" s="3"/>
      <c r="D39" s="3"/>
      <c r="E39" s="3"/>
      <c r="F39" s="3"/>
      <c r="G39" s="3"/>
      <c r="H39" s="3"/>
    </row>
    <row r="40" customFormat="false" ht="24" hidden="false" customHeight="true" outlineLevel="0" collapsed="false">
      <c r="A40" s="3"/>
      <c r="B40" s="3"/>
      <c r="C40" s="3"/>
      <c r="D40" s="3"/>
      <c r="E40" s="3"/>
      <c r="F40" s="3"/>
      <c r="G40" s="3"/>
      <c r="H40" s="3"/>
    </row>
  </sheetData>
  <mergeCells count="1">
    <mergeCell ref="A1:H1"/>
  </mergeCells>
  <conditionalFormatting sqref="B4:B10">
    <cfRule type="expression" priority="2" aboveAverage="0" equalAverage="0" bottom="0" percent="0" rank="0" text="" dxfId="21">
      <formula>B4="Висока"</formula>
    </cfRule>
    <cfRule type="expression" priority="3" aboveAverage="0" equalAverage="0" bottom="0" percent="0" rank="0" text="" dxfId="22">
      <formula>B4="Середня"</formula>
    </cfRule>
    <cfRule type="expression" priority="4" aboveAverage="0" equalAverage="0" bottom="0" percent="0" rank="0" text="" dxfId="23">
      <formula>B4="Низька/середня"</formula>
    </cfRule>
  </conditionalFormatting>
  <conditionalFormatting sqref="E4:E10">
    <cfRule type="colorScale" priority="5">
      <colorScale>
        <cfvo type="min" val="0"/>
        <cfvo type="percentile" val="50"/>
        <cfvo type="max" val="0"/>
        <color rgb="FFDCFCE7"/>
        <color rgb="FFFEF3C7"/>
        <color rgb="FFFEE2E2"/>
      </colorScale>
    </cfRule>
  </conditionalFormatting>
  <dataValidations count="1">
    <dataValidation allowBlank="false" errorStyle="stop" operator="between" showDropDown="false" showErrorMessage="false" showInputMessage="false" sqref="B4:B10" type="list">
      <formula1>"Висока,Середня,Низька/середня"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28"/>
    <col collapsed="false" customWidth="true" hidden="false" outlineLevel="0" max="4" min="4" style="0" width="26"/>
    <col collapsed="false" customWidth="true" hidden="false" outlineLevel="0" max="5" min="5" style="0" width="42"/>
    <col collapsed="false" customWidth="true" hidden="false" outlineLevel="0" max="6" min="6" style="0" width="14"/>
  </cols>
  <sheetData>
    <row r="1" customFormat="false" ht="30" hidden="false" customHeight="true" outlineLevel="0" collapsed="false">
      <c r="A1" s="1" t="s">
        <v>63</v>
      </c>
      <c r="B1" s="1"/>
      <c r="C1" s="1"/>
      <c r="D1" s="1"/>
      <c r="E1" s="1"/>
      <c r="F1" s="1"/>
    </row>
    <row r="2" customFormat="false" ht="24" hidden="false" customHeight="true" outlineLevel="0" collapsed="false">
      <c r="A2" s="3"/>
      <c r="B2" s="3"/>
      <c r="C2" s="3"/>
      <c r="D2" s="3"/>
      <c r="E2" s="3"/>
      <c r="F2" s="3"/>
    </row>
    <row r="3" customFormat="false" ht="24" hidden="false" customHeight="true" outlineLevel="0" collapsed="false">
      <c r="A3" s="7" t="s">
        <v>64</v>
      </c>
      <c r="B3" s="7" t="s">
        <v>65</v>
      </c>
      <c r="C3" s="7" t="s">
        <v>66</v>
      </c>
      <c r="D3" s="7" t="s">
        <v>67</v>
      </c>
      <c r="E3" s="7" t="s">
        <v>68</v>
      </c>
      <c r="F3" s="7" t="s">
        <v>13</v>
      </c>
    </row>
    <row r="4" customFormat="false" ht="24" hidden="false" customHeight="true" outlineLevel="0" collapsed="false">
      <c r="A4" s="3" t="s">
        <v>69</v>
      </c>
      <c r="B4" s="3" t="s">
        <v>70</v>
      </c>
      <c r="C4" s="3" t="s">
        <v>71</v>
      </c>
      <c r="D4" s="3" t="s">
        <v>72</v>
      </c>
      <c r="E4" s="3" t="s">
        <v>73</v>
      </c>
      <c r="F4" s="3" t="s">
        <v>22</v>
      </c>
    </row>
    <row r="5" customFormat="false" ht="24" hidden="false" customHeight="true" outlineLevel="0" collapsed="false">
      <c r="A5" s="3" t="s">
        <v>74</v>
      </c>
      <c r="B5" s="3" t="s">
        <v>75</v>
      </c>
      <c r="C5" s="3" t="s">
        <v>76</v>
      </c>
      <c r="D5" s="3" t="s">
        <v>77</v>
      </c>
      <c r="E5" s="3" t="s">
        <v>78</v>
      </c>
      <c r="F5" s="3" t="s">
        <v>22</v>
      </c>
    </row>
    <row r="6" customFormat="false" ht="24" hidden="false" customHeight="true" outlineLevel="0" collapsed="false">
      <c r="A6" s="3" t="s">
        <v>79</v>
      </c>
      <c r="B6" s="3" t="s">
        <v>80</v>
      </c>
      <c r="C6" s="3" t="s">
        <v>81</v>
      </c>
      <c r="D6" s="3" t="s">
        <v>82</v>
      </c>
      <c r="E6" s="3" t="s">
        <v>83</v>
      </c>
      <c r="F6" s="3" t="s">
        <v>32</v>
      </c>
    </row>
    <row r="7" customFormat="false" ht="24" hidden="false" customHeight="true" outlineLevel="0" collapsed="false">
      <c r="A7" s="3" t="s">
        <v>84</v>
      </c>
      <c r="B7" s="3" t="s">
        <v>85</v>
      </c>
      <c r="C7" s="3" t="s">
        <v>86</v>
      </c>
      <c r="D7" s="3" t="s">
        <v>87</v>
      </c>
      <c r="E7" s="3" t="s">
        <v>88</v>
      </c>
      <c r="F7" s="3" t="s">
        <v>22</v>
      </c>
    </row>
    <row r="8" customFormat="false" ht="24" hidden="false" customHeight="true" outlineLevel="0" collapsed="false">
      <c r="A8" s="3" t="s">
        <v>89</v>
      </c>
      <c r="B8" s="3" t="s">
        <v>90</v>
      </c>
      <c r="C8" s="3" t="s">
        <v>91</v>
      </c>
      <c r="D8" s="3" t="s">
        <v>92</v>
      </c>
      <c r="E8" s="3" t="s">
        <v>93</v>
      </c>
      <c r="F8" s="3" t="s">
        <v>22</v>
      </c>
    </row>
    <row r="9" customFormat="false" ht="24" hidden="false" customHeight="true" outlineLevel="0" collapsed="false">
      <c r="A9" s="3" t="s">
        <v>94</v>
      </c>
      <c r="B9" s="3" t="s">
        <v>95</v>
      </c>
      <c r="C9" s="3" t="s">
        <v>96</v>
      </c>
      <c r="D9" s="3" t="s">
        <v>97</v>
      </c>
      <c r="E9" s="3" t="s">
        <v>98</v>
      </c>
      <c r="F9" s="3" t="s">
        <v>32</v>
      </c>
    </row>
    <row r="10" customFormat="false" ht="24" hidden="false" customHeight="true" outlineLevel="0" collapsed="false">
      <c r="A10" s="3" t="s">
        <v>99</v>
      </c>
      <c r="B10" s="3" t="s">
        <v>100</v>
      </c>
      <c r="C10" s="3" t="s">
        <v>101</v>
      </c>
      <c r="D10" s="3" t="s">
        <v>102</v>
      </c>
      <c r="E10" s="3" t="s">
        <v>103</v>
      </c>
      <c r="F10" s="3" t="s">
        <v>22</v>
      </c>
    </row>
    <row r="11" customFormat="false" ht="24" hidden="false" customHeight="true" outlineLevel="0" collapsed="false">
      <c r="A11" s="3"/>
      <c r="B11" s="3"/>
      <c r="C11" s="3"/>
      <c r="D11" s="3"/>
      <c r="E11" s="3"/>
      <c r="F11" s="3"/>
    </row>
    <row r="12" customFormat="false" ht="24" hidden="false" customHeight="true" outlineLevel="0" collapsed="false">
      <c r="A12" s="3"/>
      <c r="B12" s="3"/>
      <c r="C12" s="3"/>
      <c r="D12" s="3"/>
      <c r="E12" s="3"/>
      <c r="F12" s="3"/>
    </row>
    <row r="13" customFormat="false" ht="24" hidden="false" customHeight="true" outlineLevel="0" collapsed="false">
      <c r="A13" s="3"/>
      <c r="B13" s="3"/>
      <c r="C13" s="3"/>
      <c r="D13" s="3"/>
      <c r="E13" s="3"/>
      <c r="F13" s="3"/>
    </row>
    <row r="14" customFormat="false" ht="24" hidden="false" customHeight="true" outlineLevel="0" collapsed="false">
      <c r="A14" s="3"/>
      <c r="B14" s="3"/>
      <c r="C14" s="3"/>
      <c r="D14" s="3"/>
      <c r="E14" s="3"/>
      <c r="F14" s="3"/>
    </row>
    <row r="15" customFormat="false" ht="24" hidden="false" customHeight="true" outlineLevel="0" collapsed="false">
      <c r="A15" s="3"/>
      <c r="B15" s="3"/>
      <c r="C15" s="3"/>
      <c r="D15" s="3"/>
      <c r="E15" s="3"/>
      <c r="F15" s="3"/>
    </row>
    <row r="16" customFormat="false" ht="24" hidden="false" customHeight="true" outlineLevel="0" collapsed="false">
      <c r="A16" s="3"/>
      <c r="B16" s="3"/>
      <c r="C16" s="3"/>
      <c r="D16" s="3"/>
      <c r="E16" s="3"/>
      <c r="F16" s="3"/>
    </row>
    <row r="17" customFormat="false" ht="24" hidden="false" customHeight="true" outlineLevel="0" collapsed="false">
      <c r="A17" s="3"/>
      <c r="B17" s="3"/>
      <c r="C17" s="3"/>
      <c r="D17" s="3"/>
      <c r="E17" s="3"/>
      <c r="F17" s="3"/>
    </row>
    <row r="18" customFormat="false" ht="24" hidden="false" customHeight="true" outlineLevel="0" collapsed="false">
      <c r="A18" s="3"/>
      <c r="B18" s="3"/>
      <c r="C18" s="3"/>
      <c r="D18" s="3"/>
      <c r="E18" s="3"/>
      <c r="F18" s="3"/>
    </row>
    <row r="19" customFormat="false" ht="24" hidden="false" customHeight="true" outlineLevel="0" collapsed="false">
      <c r="A19" s="3"/>
      <c r="B19" s="3"/>
      <c r="C19" s="3"/>
      <c r="D19" s="3"/>
      <c r="E19" s="3"/>
      <c r="F19" s="3"/>
    </row>
    <row r="20" customFormat="false" ht="24" hidden="false" customHeight="true" outlineLevel="0" collapsed="false">
      <c r="A20" s="3"/>
      <c r="B20" s="3"/>
      <c r="C20" s="3"/>
      <c r="D20" s="3"/>
      <c r="E20" s="3"/>
      <c r="F20" s="3"/>
    </row>
  </sheetData>
  <mergeCells count="1">
    <mergeCell ref="A1:F1"/>
  </mergeCells>
  <conditionalFormatting sqref="F4:F10">
    <cfRule type="expression" priority="2" aboveAverage="0" equalAverage="0" bottom="0" percent="0" rank="0" text="" dxfId="24">
      <formula>F4="Висока"</formula>
    </cfRule>
    <cfRule type="expression" priority="3" aboveAverage="0" equalAverage="0" bottom="0" percent="0" rank="0" text="" dxfId="25">
      <formula>F4="Середня"</formula>
    </cfRule>
    <cfRule type="expression" priority="4" aboveAverage="0" equalAverage="0" bottom="0" percent="0" rank="0" text="" dxfId="26">
      <formula>F4="Низька"</formula>
    </cfRule>
  </conditionalFormatting>
  <dataValidations count="1">
    <dataValidation allowBlank="false" errorStyle="stop" operator="between" showDropDown="false" showErrorMessage="false" showInputMessage="false" sqref="F4:F10" type="list">
      <formula1>"Висока,Середня,Низька"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36"/>
    <col collapsed="false" customWidth="true" hidden="false" outlineLevel="0" max="5" min="5" style="0" width="22"/>
    <col collapsed="false" customWidth="true" hidden="false" outlineLevel="0" max="7" min="6" style="0" width="16"/>
  </cols>
  <sheetData>
    <row r="1" customFormat="false" ht="30" hidden="false" customHeight="true" outlineLevel="0" collapsed="false">
      <c r="A1" s="1" t="s">
        <v>104</v>
      </c>
      <c r="B1" s="1"/>
      <c r="C1" s="1"/>
      <c r="D1" s="1"/>
      <c r="E1" s="1"/>
      <c r="F1" s="1"/>
      <c r="G1" s="1"/>
    </row>
    <row r="2" customFormat="false" ht="24" hidden="false" customHeight="true" outlineLevel="0" collapsed="false">
      <c r="A2" s="3"/>
      <c r="B2" s="3"/>
      <c r="C2" s="3"/>
      <c r="D2" s="3"/>
      <c r="E2" s="3"/>
      <c r="F2" s="3"/>
      <c r="G2" s="3"/>
    </row>
    <row r="3" customFormat="false" ht="24" hidden="false" customHeight="true" outlineLevel="0" collapsed="false">
      <c r="A3" s="10" t="s">
        <v>105</v>
      </c>
      <c r="B3" s="10"/>
      <c r="C3" s="10"/>
      <c r="D3" s="10"/>
      <c r="E3" s="10"/>
      <c r="F3" s="10"/>
      <c r="G3" s="10"/>
    </row>
    <row r="4" customFormat="false" ht="24" hidden="false" customHeight="true" outlineLevel="0" collapsed="false">
      <c r="A4" s="3"/>
      <c r="B4" s="3"/>
      <c r="C4" s="3"/>
      <c r="D4" s="3"/>
      <c r="E4" s="3"/>
      <c r="F4" s="3"/>
      <c r="G4" s="3"/>
    </row>
    <row r="5" customFormat="false" ht="24" hidden="false" customHeight="true" outlineLevel="0" collapsed="false">
      <c r="A5" s="7" t="s">
        <v>106</v>
      </c>
      <c r="B5" s="7" t="s">
        <v>107</v>
      </c>
      <c r="C5" s="7" t="s">
        <v>108</v>
      </c>
      <c r="D5" s="7" t="s">
        <v>109</v>
      </c>
      <c r="E5" s="7" t="s">
        <v>110</v>
      </c>
      <c r="F5" s="7" t="s">
        <v>111</v>
      </c>
      <c r="G5" s="7" t="s">
        <v>112</v>
      </c>
    </row>
    <row r="6" customFormat="false" ht="24" hidden="false" customHeight="true" outlineLevel="0" collapsed="false">
      <c r="A6" s="3" t="s">
        <v>113</v>
      </c>
      <c r="B6" s="3" t="s">
        <v>114</v>
      </c>
      <c r="C6" s="3" t="s">
        <v>115</v>
      </c>
      <c r="D6" s="3" t="s">
        <v>116</v>
      </c>
      <c r="E6" s="3" t="s">
        <v>25</v>
      </c>
      <c r="F6" s="8" t="n">
        <f aca="false">RPO!E5</f>
        <v>5</v>
      </c>
      <c r="G6" s="3" t="str">
        <f aca="false">RPO!F5</f>
        <v>5 хв</v>
      </c>
    </row>
    <row r="7" customFormat="false" ht="24" hidden="false" customHeight="true" outlineLevel="0" collapsed="false">
      <c r="A7" s="3" t="s">
        <v>117</v>
      </c>
      <c r="B7" s="3" t="s">
        <v>118</v>
      </c>
      <c r="C7" s="3" t="s">
        <v>119</v>
      </c>
      <c r="D7" s="3" t="s">
        <v>120</v>
      </c>
      <c r="E7" s="3" t="s">
        <v>25</v>
      </c>
      <c r="F7" s="8" t="n">
        <f aca="false">RTO!E5</f>
        <v>60</v>
      </c>
      <c r="G7" s="3" t="str">
        <f aca="false">RTO!F5</f>
        <v>1 год</v>
      </c>
    </row>
    <row r="8" customFormat="false" ht="24" hidden="false" customHeight="true" outlineLevel="0" collapsed="false">
      <c r="A8" s="3" t="s">
        <v>13</v>
      </c>
      <c r="B8" s="3" t="s">
        <v>121</v>
      </c>
      <c r="C8" s="3" t="s">
        <v>122</v>
      </c>
      <c r="D8" s="3" t="s">
        <v>123</v>
      </c>
      <c r="E8" s="3" t="s">
        <v>124</v>
      </c>
      <c r="F8" s="8" t="n">
        <f aca="false">RTO!E4</f>
        <v>30</v>
      </c>
      <c r="G8" s="3" t="str">
        <f aca="false">RTO!F4</f>
        <v>30 хв</v>
      </c>
    </row>
    <row r="9" customFormat="false" ht="24" hidden="false" customHeight="true" outlineLevel="0" collapsed="false">
      <c r="A9" s="3"/>
      <c r="B9" s="3"/>
      <c r="C9" s="3"/>
      <c r="D9" s="3"/>
      <c r="E9" s="3"/>
      <c r="F9" s="3"/>
      <c r="G9" s="3"/>
    </row>
    <row r="10" customFormat="false" ht="24" hidden="false" customHeight="true" outlineLevel="0" collapsed="false">
      <c r="A10" s="3"/>
      <c r="B10" s="3"/>
      <c r="C10" s="3"/>
      <c r="D10" s="3"/>
      <c r="E10" s="3"/>
      <c r="F10" s="3"/>
      <c r="G10" s="3"/>
    </row>
    <row r="11" customFormat="false" ht="24" hidden="false" customHeight="true" outlineLevel="0" collapsed="false">
      <c r="A11" s="3"/>
      <c r="B11" s="3"/>
      <c r="C11" s="3"/>
      <c r="D11" s="3"/>
      <c r="E11" s="3"/>
      <c r="F11" s="3"/>
      <c r="G11" s="3"/>
    </row>
    <row r="12" customFormat="false" ht="24" hidden="false" customHeight="true" outlineLevel="0" collapsed="false">
      <c r="A12" s="3"/>
      <c r="B12" s="3"/>
      <c r="C12" s="3"/>
      <c r="D12" s="3"/>
      <c r="E12" s="3"/>
      <c r="F12" s="3"/>
      <c r="G12" s="3"/>
    </row>
    <row r="13" customFormat="false" ht="24" hidden="false" customHeight="true" outlineLevel="0" collapsed="false">
      <c r="A13" s="3"/>
      <c r="B13" s="3"/>
      <c r="C13" s="3"/>
      <c r="D13" s="3"/>
      <c r="E13" s="3"/>
      <c r="F13" s="3"/>
      <c r="G13" s="3"/>
    </row>
    <row r="14" customFormat="false" ht="24" hidden="false" customHeight="true" outlineLevel="0" collapsed="false">
      <c r="A14" s="3"/>
      <c r="B14" s="3"/>
      <c r="C14" s="3"/>
      <c r="D14" s="3"/>
      <c r="E14" s="3"/>
      <c r="F14" s="3"/>
      <c r="G14" s="3"/>
    </row>
    <row r="15" customFormat="false" ht="24" hidden="false" customHeight="true" outlineLevel="0" collapsed="false">
      <c r="A15" s="3"/>
      <c r="B15" s="3"/>
      <c r="C15" s="3"/>
      <c r="D15" s="3"/>
      <c r="E15" s="3"/>
      <c r="F15" s="3"/>
      <c r="G15" s="3"/>
    </row>
    <row r="16" customFormat="false" ht="24" hidden="false" customHeight="true" outlineLevel="0" collapsed="false">
      <c r="A16" s="3"/>
      <c r="B16" s="3"/>
      <c r="C16" s="3"/>
      <c r="D16" s="3"/>
      <c r="E16" s="3"/>
      <c r="F16" s="3"/>
      <c r="G16" s="3"/>
    </row>
    <row r="17" customFormat="false" ht="24" hidden="false" customHeight="true" outlineLevel="0" collapsed="false">
      <c r="A17" s="3"/>
      <c r="B17" s="3"/>
      <c r="C17" s="3"/>
      <c r="D17" s="3"/>
      <c r="E17" s="3"/>
      <c r="F17" s="3"/>
      <c r="G17" s="3"/>
    </row>
    <row r="18" customFormat="false" ht="24" hidden="false" customHeight="true" outlineLevel="0" collapsed="false">
      <c r="A18" s="3"/>
      <c r="B18" s="3"/>
      <c r="C18" s="3"/>
      <c r="D18" s="3"/>
      <c r="E18" s="3"/>
      <c r="F18" s="3"/>
      <c r="G18" s="3"/>
    </row>
    <row r="19" customFormat="false" ht="24" hidden="false" customHeight="true" outlineLevel="0" collapsed="false">
      <c r="A19" s="3"/>
      <c r="B19" s="3"/>
      <c r="C19" s="3"/>
      <c r="D19" s="3"/>
      <c r="E19" s="3"/>
      <c r="F19" s="3"/>
      <c r="G19" s="3"/>
    </row>
    <row r="20" customFormat="false" ht="24" hidden="false" customHeight="true" outlineLevel="0" collapsed="false">
      <c r="A20" s="3"/>
      <c r="B20" s="3"/>
      <c r="C20" s="3"/>
      <c r="D20" s="3"/>
      <c r="E20" s="3"/>
      <c r="F20" s="3"/>
      <c r="G20" s="3"/>
    </row>
  </sheetData>
  <mergeCells count="2">
    <mergeCell ref="A1:G1"/>
    <mergeCell ref="A3:G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60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E29" activeCellId="0" sqref="E29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8"/>
    <col collapsed="false" customWidth="true" hidden="false" outlineLevel="0" max="4" min="4" style="0" width="24"/>
    <col collapsed="false" customWidth="true" hidden="false" outlineLevel="0" max="5" min="5" style="0" width="20"/>
    <col collapsed="false" customWidth="true" hidden="false" outlineLevel="0" max="6" min="6" style="0" width="24"/>
    <col collapsed="false" customWidth="true" hidden="false" outlineLevel="0" max="8" min="7" style="0" width="18"/>
  </cols>
  <sheetData>
    <row r="1" customFormat="false" ht="30" hidden="false" customHeight="true" outlineLevel="0" collapsed="false">
      <c r="A1" s="11" t="s">
        <v>125</v>
      </c>
      <c r="B1" s="11"/>
      <c r="C1" s="11"/>
      <c r="D1" s="11"/>
      <c r="E1" s="11"/>
      <c r="F1" s="11"/>
      <c r="G1" s="11"/>
      <c r="H1" s="11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 customFormat="false" ht="34" hidden="false" customHeight="true" outlineLevel="0" collapsed="false">
      <c r="A2" s="13" t="s">
        <v>126</v>
      </c>
      <c r="B2" s="13"/>
      <c r="C2" s="13"/>
      <c r="D2" s="13"/>
      <c r="E2" s="13"/>
      <c r="F2" s="13"/>
      <c r="G2" s="13"/>
      <c r="H2" s="13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 customFormat="false" ht="15" hidden="false" customHeight="false" outlineLevel="0" collapsed="false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 customFormat="false" ht="15" hidden="false" customHeight="false" outlineLevel="0" collapsed="false">
      <c r="A4" s="14" t="s">
        <v>106</v>
      </c>
      <c r="B4" s="14" t="s">
        <v>127</v>
      </c>
      <c r="C4" s="12"/>
      <c r="D4" s="14" t="s">
        <v>128</v>
      </c>
      <c r="E4" s="14" t="s">
        <v>127</v>
      </c>
      <c r="F4" s="14" t="s">
        <v>14</v>
      </c>
      <c r="G4" s="14"/>
      <c r="H4" s="14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 customFormat="false" ht="15" hidden="false" customHeight="false" outlineLevel="0" collapsed="false">
      <c r="A5" s="15" t="s">
        <v>129</v>
      </c>
      <c r="B5" s="16" t="n">
        <f aca="false">ДЗ9_FAIR!H12</f>
        <v>199650</v>
      </c>
      <c r="C5" s="12"/>
      <c r="D5" s="15" t="s">
        <v>130</v>
      </c>
      <c r="E5" s="17" t="n">
        <f aca="false">ДЗ9_FAIR!S12</f>
        <v>28755.0375</v>
      </c>
      <c r="F5" s="18" t="s">
        <v>131</v>
      </c>
      <c r="G5" s="18"/>
      <c r="H5" s="18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 customFormat="false" ht="15" hidden="false" customHeight="false" outlineLevel="0" collapsed="false">
      <c r="A6" s="15" t="s">
        <v>132</v>
      </c>
      <c r="B6" s="16" t="n">
        <f aca="false">ДЗ9_FAIR!S12</f>
        <v>28755.0375</v>
      </c>
      <c r="C6" s="12"/>
      <c r="D6" s="15" t="s">
        <v>133</v>
      </c>
      <c r="E6" s="17" t="n">
        <f aca="false">ДЗ9_FAIR!D3</f>
        <v>50000</v>
      </c>
      <c r="F6" s="18" t="s">
        <v>134</v>
      </c>
      <c r="G6" s="18"/>
      <c r="H6" s="18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 customFormat="false" ht="15" hidden="false" customHeight="false" outlineLevel="0" collapsed="false">
      <c r="A7" s="15" t="s">
        <v>135</v>
      </c>
      <c r="B7" s="16" t="n">
        <f aca="false">ДЗ9_FAIR!T12</f>
        <v>170894.9625</v>
      </c>
      <c r="C7" s="12"/>
      <c r="D7" s="15" t="s">
        <v>136</v>
      </c>
      <c r="E7" s="19" t="str">
        <f aca="false">COUNTIF(ДЗ9_FAIR!W5:W11,"Прийнятний")&amp;" із "&amp;COUNTA(ДЗ9_FAIR!A5:A11)</f>
        <v>7 із 7</v>
      </c>
      <c r="F7" s="18" t="s">
        <v>137</v>
      </c>
      <c r="G7" s="18"/>
      <c r="H7" s="18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customFormat="false" ht="15" hidden="false" customHeight="false" outlineLevel="0" collapsed="false">
      <c r="A8" s="15" t="s">
        <v>138</v>
      </c>
      <c r="B8" s="20" t="n">
        <f aca="false">ДЗ9_FAIR!R12</f>
        <v>0.855972764838467</v>
      </c>
      <c r="C8" s="12"/>
      <c r="D8" s="15" t="s">
        <v>139</v>
      </c>
      <c r="E8" s="19" t="str">
        <f aca="false">IF(E5&lt;=E6,"Прийнятний","Потребує додаткових заходів")</f>
        <v>Прийнятний</v>
      </c>
      <c r="F8" s="18" t="s">
        <v>140</v>
      </c>
      <c r="G8" s="18"/>
      <c r="H8" s="18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customFormat="false" ht="15" hidden="false" customHeight="false" outlineLevel="0" collapsed="false">
      <c r="A9" s="15" t="s">
        <v>141</v>
      </c>
      <c r="B9" s="16" t="n">
        <f aca="false">ДЗ9_FAIR!Y12</f>
        <v>59500</v>
      </c>
      <c r="C9" s="12"/>
      <c r="D9" s="15" t="s">
        <v>142</v>
      </c>
      <c r="E9" s="19" t="str">
        <f aca="false">IF(ДЗ9_FAIR!Z12&gt;0,"Доцільно","Потрібно переглянути")</f>
        <v>Доцільно</v>
      </c>
      <c r="F9" s="18" t="s">
        <v>143</v>
      </c>
      <c r="G9" s="18"/>
      <c r="H9" s="18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customFormat="false" ht="15" hidden="false" customHeight="false" outlineLevel="0" collapsed="false">
      <c r="A11" s="21" t="s">
        <v>7</v>
      </c>
      <c r="B11" s="21" t="s">
        <v>144</v>
      </c>
      <c r="C11" s="21" t="s">
        <v>145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customFormat="false" ht="15" hidden="false" customHeight="false" outlineLevel="0" collapsed="false">
      <c r="A12" s="18" t="s">
        <v>21</v>
      </c>
      <c r="B12" s="22" t="n">
        <f aca="false">ДЗ9_FAIR!H5</f>
        <v>49500</v>
      </c>
      <c r="C12" s="22" t="n">
        <f aca="false">ДЗ9_FAIR!S5</f>
        <v>5240.8125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customFormat="false" ht="15" hidden="false" customHeight="false" outlineLevel="0" collapsed="false">
      <c r="A13" s="18" t="s">
        <v>25</v>
      </c>
      <c r="B13" s="22" t="n">
        <f aca="false">ДЗ9_FAIR!H6</f>
        <v>72000</v>
      </c>
      <c r="C13" s="22" t="n">
        <f aca="false">ДЗ9_FAIR!S6</f>
        <v>6318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customFormat="false" ht="15" hidden="false" customHeight="false" outlineLevel="0" collapsed="false">
      <c r="A14" s="18" t="s">
        <v>28</v>
      </c>
      <c r="B14" s="22" t="n">
        <f aca="false">ДЗ9_FAIR!H7</f>
        <v>39000</v>
      </c>
      <c r="C14" s="22" t="n">
        <f aca="false">ДЗ9_FAIR!S7</f>
        <v>5460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customFormat="false" ht="15" hidden="false" customHeight="false" outlineLevel="0" collapsed="false">
      <c r="A15" s="18" t="s">
        <v>31</v>
      </c>
      <c r="B15" s="22" t="n">
        <f aca="false">ДЗ9_FAIR!H8</f>
        <v>12000</v>
      </c>
      <c r="C15" s="22" t="n">
        <f aca="false">ДЗ9_FAIR!S8</f>
        <v>3712.5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customFormat="false" ht="15" hidden="false" customHeight="false" outlineLevel="0" collapsed="false">
      <c r="A16" s="18" t="s">
        <v>35</v>
      </c>
      <c r="B16" s="22" t="n">
        <f aca="false">ДЗ9_FAIR!H9</f>
        <v>15750</v>
      </c>
      <c r="C16" s="22" t="n">
        <f aca="false">ДЗ9_FAIR!S9</f>
        <v>4134.375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customFormat="false" ht="15" hidden="false" customHeight="false" outlineLevel="0" collapsed="false">
      <c r="A17" s="18" t="s">
        <v>38</v>
      </c>
      <c r="B17" s="22" t="n">
        <f aca="false">ДЗ9_FAIR!H10</f>
        <v>7200</v>
      </c>
      <c r="C17" s="22" t="n">
        <f aca="false">ДЗ9_FAIR!S10</f>
        <v>2764.8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customFormat="false" ht="15" hidden="false" customHeight="false" outlineLevel="0" collapsed="false">
      <c r="A18" s="18" t="s">
        <v>42</v>
      </c>
      <c r="B18" s="22" t="n">
        <f aca="false">ДЗ9_FAIR!H11</f>
        <v>4200</v>
      </c>
      <c r="C18" s="22" t="n">
        <f aca="false">ДЗ9_FAIR!S11</f>
        <v>1124.55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customFormat="false" ht="15" hidden="false" customHeight="true" outlineLevel="0" collapsed="false">
      <c r="A20" s="23" t="s">
        <v>146</v>
      </c>
      <c r="B20" s="23"/>
      <c r="C20" s="23"/>
      <c r="D20" s="23"/>
      <c r="E20" s="23"/>
      <c r="F20" s="23"/>
      <c r="G20" s="23"/>
      <c r="H20" s="23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customFormat="false" ht="54" hidden="false" customHeight="true" outlineLevel="0" collapsed="false">
      <c r="A21" s="24" t="s">
        <v>147</v>
      </c>
      <c r="B21" s="24"/>
      <c r="C21" s="24"/>
      <c r="D21" s="24"/>
      <c r="E21" s="24"/>
      <c r="F21" s="24"/>
      <c r="G21" s="24"/>
      <c r="H21" s="24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customFormat="false" ht="54" hidden="false" customHeight="true" outlineLevel="0" collapsed="false">
      <c r="A22" s="24" t="s">
        <v>148</v>
      </c>
      <c r="B22" s="24"/>
      <c r="C22" s="24"/>
      <c r="D22" s="24"/>
      <c r="E22" s="24"/>
      <c r="F22" s="24"/>
      <c r="G22" s="24"/>
      <c r="H22" s="24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 customFormat="false" ht="54" hidden="false" customHeight="true" outlineLevel="0" collapsed="false">
      <c r="A23" s="24" t="s">
        <v>149</v>
      </c>
      <c r="B23" s="24"/>
      <c r="C23" s="24"/>
      <c r="D23" s="24"/>
      <c r="E23" s="24"/>
      <c r="F23" s="24"/>
      <c r="G23" s="24"/>
      <c r="H23" s="24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 customFormat="false" ht="54" hidden="false" customHeight="true" outlineLevel="0" collapsed="false">
      <c r="A24" s="24"/>
      <c r="B24" s="24"/>
      <c r="C24" s="24"/>
      <c r="D24" s="24"/>
      <c r="E24" s="24"/>
      <c r="F24" s="24"/>
      <c r="G24" s="24"/>
      <c r="H24" s="24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</sheetData>
  <mergeCells count="7">
    <mergeCell ref="A1:H1"/>
    <mergeCell ref="A2:H2"/>
    <mergeCell ref="A20:H20"/>
    <mergeCell ref="A21:H21"/>
    <mergeCell ref="A22:H22"/>
    <mergeCell ref="A23:H23"/>
    <mergeCell ref="A24:H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16"/>
    <col collapsed="false" customWidth="true" hidden="false" outlineLevel="0" max="3" min="3" style="0" width="35"/>
    <col collapsed="false" customWidth="true" hidden="false" outlineLevel="0" max="4" min="4" style="0" width="16"/>
    <col collapsed="false" customWidth="true" hidden="false" outlineLevel="0" max="7" min="5" style="0" width="10"/>
    <col collapsed="false" customWidth="true" hidden="false" outlineLevel="0" max="8" min="8" style="0" width="14"/>
    <col collapsed="false" customWidth="true" hidden="false" outlineLevel="0" max="9" min="9" style="0" width="45"/>
    <col collapsed="false" customWidth="true" hidden="false" outlineLevel="0" max="10" min="10" style="0" width="13"/>
    <col collapsed="false" customWidth="true" hidden="false" outlineLevel="0" max="12" min="11" style="0" width="15"/>
    <col collapsed="false" customWidth="true" hidden="false" outlineLevel="0" max="15" min="13" style="0" width="11"/>
    <col collapsed="false" customWidth="true" hidden="false" outlineLevel="0" max="16" min="16" style="0" width="18"/>
    <col collapsed="false" customWidth="true" hidden="false" outlineLevel="0" max="17" min="17" style="0" width="14"/>
    <col collapsed="false" customWidth="true" hidden="false" outlineLevel="0" max="18" min="18" style="0" width="10"/>
    <col collapsed="false" customWidth="true" hidden="false" outlineLevel="0" max="19" min="19" style="0" width="18"/>
    <col collapsed="false" customWidth="true" hidden="false" outlineLevel="0" max="20" min="20" style="0" width="16"/>
    <col collapsed="false" customWidth="true" hidden="false" outlineLevel="0" max="21" min="21" style="0" width="13"/>
    <col collapsed="false" customWidth="true" hidden="false" outlineLevel="0" max="22" min="22" style="0" width="23"/>
    <col collapsed="false" customWidth="true" hidden="false" outlineLevel="0" max="23" min="23" style="0" width="20"/>
    <col collapsed="false" customWidth="true" hidden="false" outlineLevel="0" max="24" min="24" style="0" width="48"/>
    <col collapsed="false" customWidth="true" hidden="false" outlineLevel="0" max="25" min="25" style="0" width="20"/>
    <col collapsed="false" customWidth="true" hidden="false" outlineLevel="0" max="26" min="26" style="0" width="16"/>
    <col collapsed="false" customWidth="true" hidden="false" outlineLevel="0" max="27" min="27" style="0" width="12"/>
    <col collapsed="false" customWidth="true" hidden="false" outlineLevel="0" max="28" min="28" style="0" width="24"/>
    <col collapsed="false" customWidth="true" hidden="false" outlineLevel="0" max="29" min="29" style="0" width="44"/>
  </cols>
  <sheetData>
    <row r="1" customFormat="false" ht="30" hidden="false" customHeight="true" outlineLevel="0" collapsed="false">
      <c r="A1" s="11" t="s">
        <v>150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 customFormat="false" ht="42" hidden="false" customHeight="true" outlineLevel="0" collapsed="false">
      <c r="A2" s="13" t="s">
        <v>151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 customFormat="false" ht="15" hidden="false" customHeight="false" outlineLevel="0" collapsed="false">
      <c r="A3" s="25" t="s">
        <v>152</v>
      </c>
      <c r="B3" s="26" t="n">
        <v>10000</v>
      </c>
      <c r="C3" s="25" t="s">
        <v>153</v>
      </c>
      <c r="D3" s="26" t="n">
        <v>50000</v>
      </c>
      <c r="E3" s="25" t="s">
        <v>154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 customFormat="false" ht="56" hidden="false" customHeight="true" outlineLevel="0" collapsed="false">
      <c r="A4" s="21" t="s">
        <v>7</v>
      </c>
      <c r="B4" s="21" t="s">
        <v>8</v>
      </c>
      <c r="C4" s="21" t="s">
        <v>155</v>
      </c>
      <c r="D4" s="21" t="s">
        <v>156</v>
      </c>
      <c r="E4" s="21" t="s">
        <v>157</v>
      </c>
      <c r="F4" s="21" t="s">
        <v>158</v>
      </c>
      <c r="G4" s="21" t="s">
        <v>159</v>
      </c>
      <c r="H4" s="21" t="s">
        <v>144</v>
      </c>
      <c r="I4" s="21" t="s">
        <v>160</v>
      </c>
      <c r="J4" s="21" t="s">
        <v>161</v>
      </c>
      <c r="K4" s="21" t="s">
        <v>162</v>
      </c>
      <c r="L4" s="21" t="s">
        <v>163</v>
      </c>
      <c r="M4" s="21" t="s">
        <v>164</v>
      </c>
      <c r="N4" s="21" t="s">
        <v>165</v>
      </c>
      <c r="O4" s="21" t="s">
        <v>166</v>
      </c>
      <c r="P4" s="21" t="s">
        <v>167</v>
      </c>
      <c r="Q4" s="21" t="s">
        <v>168</v>
      </c>
      <c r="R4" s="21" t="s">
        <v>169</v>
      </c>
      <c r="S4" s="21" t="s">
        <v>170</v>
      </c>
      <c r="T4" s="21" t="s">
        <v>171</v>
      </c>
      <c r="U4" s="21" t="s">
        <v>172</v>
      </c>
      <c r="V4" s="21" t="s">
        <v>173</v>
      </c>
      <c r="W4" s="21" t="s">
        <v>174</v>
      </c>
      <c r="X4" s="21" t="s">
        <v>175</v>
      </c>
      <c r="Y4" s="21" t="s">
        <v>176</v>
      </c>
      <c r="Z4" s="21" t="s">
        <v>177</v>
      </c>
      <c r="AA4" s="21" t="s">
        <v>178</v>
      </c>
      <c r="AB4" s="21" t="s">
        <v>128</v>
      </c>
      <c r="AC4" s="21" t="s">
        <v>179</v>
      </c>
    </row>
    <row r="5" customFormat="false" ht="15" hidden="false" customHeight="false" outlineLevel="0" collapsed="false">
      <c r="A5" s="18" t="s">
        <v>21</v>
      </c>
      <c r="B5" s="18" t="s">
        <v>22</v>
      </c>
      <c r="C5" s="18" t="s">
        <v>180</v>
      </c>
      <c r="D5" s="27" t="n">
        <v>45000</v>
      </c>
      <c r="E5" s="28" t="n">
        <v>2</v>
      </c>
      <c r="F5" s="29" t="n">
        <v>0.55</v>
      </c>
      <c r="G5" s="30" t="n">
        <f aca="false">E5*F5</f>
        <v>1.1</v>
      </c>
      <c r="H5" s="31" t="n">
        <f aca="false">D5*G5</f>
        <v>49500</v>
      </c>
      <c r="I5" s="18" t="s">
        <v>181</v>
      </c>
      <c r="J5" s="29" t="n">
        <v>0.45</v>
      </c>
      <c r="K5" s="29" t="n">
        <v>0.65</v>
      </c>
      <c r="L5" s="29" t="n">
        <v>0.45</v>
      </c>
      <c r="M5" s="30" t="n">
        <f aca="false">E5*(1-J5)</f>
        <v>1.1</v>
      </c>
      <c r="N5" s="32" t="n">
        <f aca="false">F5*(1-K5)</f>
        <v>0.1925</v>
      </c>
      <c r="O5" s="30" t="n">
        <f aca="false">M5*N5</f>
        <v>0.21175</v>
      </c>
      <c r="P5" s="31" t="n">
        <f aca="false">D5*(1-L5)</f>
        <v>24750</v>
      </c>
      <c r="Q5" s="31" t="n">
        <f aca="false">O5*P5</f>
        <v>5240.8125</v>
      </c>
      <c r="R5" s="32" t="n">
        <f aca="false">IFERROR(1-(Q5/H5),0)</f>
        <v>0.894125</v>
      </c>
      <c r="S5" s="33" t="n">
        <f aca="false">H5*(1-R5)</f>
        <v>5240.8125</v>
      </c>
      <c r="T5" s="31" t="n">
        <f aca="false">H5-S5</f>
        <v>44259.1875</v>
      </c>
      <c r="U5" s="32" t="n">
        <f aca="false">IFERROR(T5/H5,0)</f>
        <v>0.894125</v>
      </c>
      <c r="V5" s="34" t="s">
        <v>182</v>
      </c>
      <c r="W5" s="35" t="str">
        <f aca="false">IF(S5&lt;=$B$3,"Прийнятний","Потребує додаткових дій")</f>
        <v>Прийнятний</v>
      </c>
      <c r="X5" s="18" t="s">
        <v>183</v>
      </c>
      <c r="Y5" s="27" t="n">
        <v>12000</v>
      </c>
      <c r="Z5" s="31" t="n">
        <f aca="false">T5-Y5</f>
        <v>32259.1875</v>
      </c>
      <c r="AA5" s="32" t="n">
        <f aca="false">IFERROR(Z5/Y5,0)</f>
        <v>2.688265625</v>
      </c>
      <c r="AB5" s="35" t="str">
        <f aca="false">IF(Z5&gt;0,"Економічно доцільно","Переглянути бюджет контролів")</f>
        <v>Економічно доцільно</v>
      </c>
      <c r="AC5" s="18" t="s">
        <v>184</v>
      </c>
    </row>
    <row r="6" customFormat="false" ht="15" hidden="false" customHeight="false" outlineLevel="0" collapsed="false">
      <c r="A6" s="18" t="s">
        <v>25</v>
      </c>
      <c r="B6" s="18" t="s">
        <v>22</v>
      </c>
      <c r="C6" s="18" t="s">
        <v>185</v>
      </c>
      <c r="D6" s="27" t="n">
        <v>80000</v>
      </c>
      <c r="E6" s="28" t="n">
        <v>1.5</v>
      </c>
      <c r="F6" s="29" t="n">
        <v>0.6</v>
      </c>
      <c r="G6" s="30" t="n">
        <f aca="false">E6*F6</f>
        <v>0.9</v>
      </c>
      <c r="H6" s="31" t="n">
        <f aca="false">D6*G6</f>
        <v>72000</v>
      </c>
      <c r="I6" s="18" t="s">
        <v>186</v>
      </c>
      <c r="J6" s="29" t="n">
        <v>0.35</v>
      </c>
      <c r="K6" s="29" t="n">
        <v>0.7</v>
      </c>
      <c r="L6" s="29" t="n">
        <v>0.55</v>
      </c>
      <c r="M6" s="30" t="n">
        <f aca="false">E6*(1-J6)</f>
        <v>0.975</v>
      </c>
      <c r="N6" s="32" t="n">
        <f aca="false">F6*(1-K6)</f>
        <v>0.18</v>
      </c>
      <c r="O6" s="30" t="n">
        <f aca="false">M6*N6</f>
        <v>0.1755</v>
      </c>
      <c r="P6" s="31" t="n">
        <f aca="false">D6*(1-L6)</f>
        <v>36000</v>
      </c>
      <c r="Q6" s="31" t="n">
        <f aca="false">O6*P6</f>
        <v>6318</v>
      </c>
      <c r="R6" s="32" t="n">
        <f aca="false">IFERROR(1-(Q6/H6),0)</f>
        <v>0.91225</v>
      </c>
      <c r="S6" s="33" t="n">
        <f aca="false">H6*(1-R6)</f>
        <v>6318</v>
      </c>
      <c r="T6" s="31" t="n">
        <f aca="false">H6-S6</f>
        <v>65682</v>
      </c>
      <c r="U6" s="32" t="n">
        <f aca="false">IFERROR(T6/H6,0)</f>
        <v>0.91225</v>
      </c>
      <c r="V6" s="34" t="s">
        <v>187</v>
      </c>
      <c r="W6" s="35" t="str">
        <f aca="false">IF(S6&lt;=$B$3,"Прийнятний","Потребує додаткових дій")</f>
        <v>Прийнятний</v>
      </c>
      <c r="X6" s="18" t="s">
        <v>188</v>
      </c>
      <c r="Y6" s="27" t="n">
        <v>18000</v>
      </c>
      <c r="Z6" s="31" t="n">
        <f aca="false">T6-Y6</f>
        <v>47682</v>
      </c>
      <c r="AA6" s="32" t="n">
        <f aca="false">IFERROR(Z6/Y6,0)</f>
        <v>2.649</v>
      </c>
      <c r="AB6" s="35" t="str">
        <f aca="false">IF(Z6&gt;0,"Економічно доцільно","Переглянути бюджет контролів")</f>
        <v>Економічно доцільно</v>
      </c>
      <c r="AC6" s="18" t="s">
        <v>189</v>
      </c>
    </row>
    <row r="7" customFormat="false" ht="15" hidden="false" customHeight="false" outlineLevel="0" collapsed="false">
      <c r="A7" s="18" t="s">
        <v>28</v>
      </c>
      <c r="B7" s="18" t="s">
        <v>22</v>
      </c>
      <c r="C7" s="18" t="s">
        <v>190</v>
      </c>
      <c r="D7" s="27" t="n">
        <v>65000</v>
      </c>
      <c r="E7" s="28" t="n">
        <v>1.2</v>
      </c>
      <c r="F7" s="29" t="n">
        <v>0.5</v>
      </c>
      <c r="G7" s="30" t="n">
        <f aca="false">E7*F7</f>
        <v>0.6</v>
      </c>
      <c r="H7" s="31" t="n">
        <f aca="false">D7*G7</f>
        <v>39000</v>
      </c>
      <c r="I7" s="18" t="s">
        <v>191</v>
      </c>
      <c r="J7" s="29" t="n">
        <v>0.3</v>
      </c>
      <c r="K7" s="29" t="n">
        <v>0.6</v>
      </c>
      <c r="L7" s="29" t="n">
        <v>0.5</v>
      </c>
      <c r="M7" s="30" t="n">
        <f aca="false">E7*(1-J7)</f>
        <v>0.84</v>
      </c>
      <c r="N7" s="32" t="n">
        <f aca="false">F7*(1-K7)</f>
        <v>0.2</v>
      </c>
      <c r="O7" s="30" t="n">
        <f aca="false">M7*N7</f>
        <v>0.168</v>
      </c>
      <c r="P7" s="31" t="n">
        <f aca="false">D7*(1-L7)</f>
        <v>32500</v>
      </c>
      <c r="Q7" s="31" t="n">
        <f aca="false">O7*P7</f>
        <v>5460</v>
      </c>
      <c r="R7" s="32" t="n">
        <f aca="false">IFERROR(1-(Q7/H7),0)</f>
        <v>0.86</v>
      </c>
      <c r="S7" s="33" t="n">
        <f aca="false">H7*(1-R7)</f>
        <v>5460</v>
      </c>
      <c r="T7" s="31" t="n">
        <f aca="false">H7-S7</f>
        <v>33540</v>
      </c>
      <c r="U7" s="32" t="n">
        <f aca="false">IFERROR(T7/H7,0)</f>
        <v>0.86</v>
      </c>
      <c r="V7" s="34" t="s">
        <v>192</v>
      </c>
      <c r="W7" s="35" t="str">
        <f aca="false">IF(S7&lt;=$B$3,"Прийнятний","Потребує додаткових дій")</f>
        <v>Прийнятний</v>
      </c>
      <c r="X7" s="18" t="s">
        <v>193</v>
      </c>
      <c r="Y7" s="27" t="n">
        <v>8000</v>
      </c>
      <c r="Z7" s="31" t="n">
        <f aca="false">T7-Y7</f>
        <v>25540</v>
      </c>
      <c r="AA7" s="32" t="n">
        <f aca="false">IFERROR(Z7/Y7,0)</f>
        <v>3.1925</v>
      </c>
      <c r="AB7" s="35" t="str">
        <f aca="false">IF(Z7&gt;0,"Економічно доцільно","Переглянути бюджет контролів")</f>
        <v>Економічно доцільно</v>
      </c>
      <c r="AC7" s="18" t="s">
        <v>194</v>
      </c>
    </row>
    <row r="8" customFormat="false" ht="15" hidden="false" customHeight="false" outlineLevel="0" collapsed="false">
      <c r="A8" s="18" t="s">
        <v>31</v>
      </c>
      <c r="B8" s="18" t="s">
        <v>32</v>
      </c>
      <c r="C8" s="18" t="s">
        <v>195</v>
      </c>
      <c r="D8" s="27" t="n">
        <v>30000</v>
      </c>
      <c r="E8" s="28" t="n">
        <v>1</v>
      </c>
      <c r="F8" s="29" t="n">
        <v>0.4</v>
      </c>
      <c r="G8" s="30" t="n">
        <f aca="false">E8*F8</f>
        <v>0.4</v>
      </c>
      <c r="H8" s="31" t="n">
        <f aca="false">D8*G8</f>
        <v>12000</v>
      </c>
      <c r="I8" s="18" t="s">
        <v>196</v>
      </c>
      <c r="J8" s="29" t="n">
        <v>0.25</v>
      </c>
      <c r="K8" s="29" t="n">
        <v>0.45</v>
      </c>
      <c r="L8" s="29" t="n">
        <v>0.25</v>
      </c>
      <c r="M8" s="30" t="n">
        <f aca="false">E8*(1-J8)</f>
        <v>0.75</v>
      </c>
      <c r="N8" s="32" t="n">
        <f aca="false">F8*(1-K8)</f>
        <v>0.22</v>
      </c>
      <c r="O8" s="30" t="n">
        <f aca="false">M8*N8</f>
        <v>0.165</v>
      </c>
      <c r="P8" s="31" t="n">
        <f aca="false">D8*(1-L8)</f>
        <v>22500</v>
      </c>
      <c r="Q8" s="31" t="n">
        <f aca="false">O8*P8</f>
        <v>3712.5</v>
      </c>
      <c r="R8" s="32" t="n">
        <f aca="false">IFERROR(1-(Q8/H8),0)</f>
        <v>0.690625</v>
      </c>
      <c r="S8" s="33" t="n">
        <f aca="false">H8*(1-R8)</f>
        <v>3712.5</v>
      </c>
      <c r="T8" s="31" t="n">
        <f aca="false">H8-S8</f>
        <v>8287.5</v>
      </c>
      <c r="U8" s="32" t="n">
        <f aca="false">IFERROR(T8/H8,0)</f>
        <v>0.690625</v>
      </c>
      <c r="V8" s="34" t="s">
        <v>182</v>
      </c>
      <c r="W8" s="35" t="str">
        <f aca="false">IF(S8&lt;=$B$3,"Прийнятний","Потребує додаткових дій")</f>
        <v>Прийнятний</v>
      </c>
      <c r="X8" s="18" t="s">
        <v>197</v>
      </c>
      <c r="Y8" s="27" t="n">
        <v>5000</v>
      </c>
      <c r="Z8" s="31" t="n">
        <f aca="false">T8-Y8</f>
        <v>3287.5</v>
      </c>
      <c r="AA8" s="32" t="n">
        <f aca="false">IFERROR(Z8/Y8,0)</f>
        <v>0.6575</v>
      </c>
      <c r="AB8" s="35" t="str">
        <f aca="false">IF(Z8&gt;0,"Економічно доцільно","Переглянути бюджет контролів")</f>
        <v>Економічно доцільно</v>
      </c>
      <c r="AC8" s="18" t="s">
        <v>198</v>
      </c>
    </row>
    <row r="9" customFormat="false" ht="15" hidden="false" customHeight="false" outlineLevel="0" collapsed="false">
      <c r="A9" s="18" t="s">
        <v>35</v>
      </c>
      <c r="B9" s="18" t="s">
        <v>32</v>
      </c>
      <c r="C9" s="18" t="s">
        <v>199</v>
      </c>
      <c r="D9" s="27" t="n">
        <v>35000</v>
      </c>
      <c r="E9" s="28" t="n">
        <v>1</v>
      </c>
      <c r="F9" s="29" t="n">
        <v>0.45</v>
      </c>
      <c r="G9" s="30" t="n">
        <f aca="false">E9*F9</f>
        <v>0.45</v>
      </c>
      <c r="H9" s="31" t="n">
        <f aca="false">D9*G9</f>
        <v>15750</v>
      </c>
      <c r="I9" s="18" t="s">
        <v>200</v>
      </c>
      <c r="J9" s="29" t="n">
        <v>0.25</v>
      </c>
      <c r="K9" s="29" t="n">
        <v>0.5</v>
      </c>
      <c r="L9" s="29" t="n">
        <v>0.3</v>
      </c>
      <c r="M9" s="30" t="n">
        <f aca="false">E9*(1-J9)</f>
        <v>0.75</v>
      </c>
      <c r="N9" s="32" t="n">
        <f aca="false">F9*(1-K9)</f>
        <v>0.225</v>
      </c>
      <c r="O9" s="30" t="n">
        <f aca="false">M9*N9</f>
        <v>0.16875</v>
      </c>
      <c r="P9" s="31" t="n">
        <f aca="false">D9*(1-L9)</f>
        <v>24500</v>
      </c>
      <c r="Q9" s="31" t="n">
        <f aca="false">O9*P9</f>
        <v>4134.375</v>
      </c>
      <c r="R9" s="32" t="n">
        <f aca="false">IFERROR(1-(Q9/H9),0)</f>
        <v>0.7375</v>
      </c>
      <c r="S9" s="33" t="n">
        <f aca="false">H9*(1-R9)</f>
        <v>4134.375</v>
      </c>
      <c r="T9" s="31" t="n">
        <f aca="false">H9-S9</f>
        <v>11615.625</v>
      </c>
      <c r="U9" s="32" t="n">
        <f aca="false">IFERROR(T9/H9,0)</f>
        <v>0.7375</v>
      </c>
      <c r="V9" s="34" t="s">
        <v>182</v>
      </c>
      <c r="W9" s="35" t="str">
        <f aca="false">IF(S9&lt;=$B$3,"Прийнятний","Потребує додаткових дій")</f>
        <v>Прийнятний</v>
      </c>
      <c r="X9" s="18" t="s">
        <v>201</v>
      </c>
      <c r="Y9" s="27" t="n">
        <v>6000</v>
      </c>
      <c r="Z9" s="31" t="n">
        <f aca="false">T9-Y9</f>
        <v>5615.625</v>
      </c>
      <c r="AA9" s="32" t="n">
        <f aca="false">IFERROR(Z9/Y9,0)</f>
        <v>0.9359375</v>
      </c>
      <c r="AB9" s="35" t="str">
        <f aca="false">IF(Z9&gt;0,"Економічно доцільно","Переглянути бюджет контролів")</f>
        <v>Економічно доцільно</v>
      </c>
      <c r="AC9" s="18" t="s">
        <v>202</v>
      </c>
    </row>
    <row r="10" customFormat="false" ht="15" hidden="false" customHeight="false" outlineLevel="0" collapsed="false">
      <c r="A10" s="18" t="s">
        <v>38</v>
      </c>
      <c r="B10" s="18" t="s">
        <v>39</v>
      </c>
      <c r="C10" s="18" t="s">
        <v>203</v>
      </c>
      <c r="D10" s="27" t="n">
        <v>20000</v>
      </c>
      <c r="E10" s="28" t="n">
        <v>0.8</v>
      </c>
      <c r="F10" s="29" t="n">
        <v>0.45</v>
      </c>
      <c r="G10" s="30" t="n">
        <f aca="false">E10*F10</f>
        <v>0.36</v>
      </c>
      <c r="H10" s="31" t="n">
        <f aca="false">D10*G10</f>
        <v>7200</v>
      </c>
      <c r="I10" s="18" t="s">
        <v>204</v>
      </c>
      <c r="J10" s="29" t="n">
        <v>0.2</v>
      </c>
      <c r="K10" s="29" t="n">
        <v>0.4</v>
      </c>
      <c r="L10" s="29" t="n">
        <v>0.2</v>
      </c>
      <c r="M10" s="30" t="n">
        <f aca="false">E10*(1-J10)</f>
        <v>0.64</v>
      </c>
      <c r="N10" s="32" t="n">
        <f aca="false">F10*(1-K10)</f>
        <v>0.27</v>
      </c>
      <c r="O10" s="30" t="n">
        <f aca="false">M10*N10</f>
        <v>0.1728</v>
      </c>
      <c r="P10" s="31" t="n">
        <f aca="false">D10*(1-L10)</f>
        <v>16000</v>
      </c>
      <c r="Q10" s="31" t="n">
        <f aca="false">O10*P10</f>
        <v>2764.8</v>
      </c>
      <c r="R10" s="32" t="n">
        <f aca="false">IFERROR(1-(Q10/H10),0)</f>
        <v>0.616</v>
      </c>
      <c r="S10" s="33" t="n">
        <f aca="false">H10*(1-R10)</f>
        <v>2764.8</v>
      </c>
      <c r="T10" s="31" t="n">
        <f aca="false">H10-S10</f>
        <v>4435.2</v>
      </c>
      <c r="U10" s="32" t="n">
        <f aca="false">IFERROR(T10/H10,0)</f>
        <v>0.616</v>
      </c>
      <c r="V10" s="34" t="s">
        <v>205</v>
      </c>
      <c r="W10" s="35" t="str">
        <f aca="false">IF(S10&lt;=$B$3,"Прийнятний","Потребує додаткових дій")</f>
        <v>Прийнятний</v>
      </c>
      <c r="X10" s="18" t="s">
        <v>206</v>
      </c>
      <c r="Y10" s="27" t="n">
        <v>4000</v>
      </c>
      <c r="Z10" s="31" t="n">
        <f aca="false">T10-Y10</f>
        <v>435.2</v>
      </c>
      <c r="AA10" s="32" t="n">
        <f aca="false">IFERROR(Z10/Y10,0)</f>
        <v>0.1088</v>
      </c>
      <c r="AB10" s="35" t="str">
        <f aca="false">IF(Z10&gt;0,"Економічно доцільно","Переглянути бюджет контролів")</f>
        <v>Економічно доцільно</v>
      </c>
      <c r="AC10" s="18" t="s">
        <v>207</v>
      </c>
    </row>
    <row r="11" customFormat="false" ht="15" hidden="false" customHeight="false" outlineLevel="0" collapsed="false">
      <c r="A11" s="18" t="s">
        <v>42</v>
      </c>
      <c r="B11" s="18" t="s">
        <v>32</v>
      </c>
      <c r="C11" s="18" t="s">
        <v>208</v>
      </c>
      <c r="D11" s="27" t="n">
        <v>15000</v>
      </c>
      <c r="E11" s="28" t="n">
        <v>0.8</v>
      </c>
      <c r="F11" s="29" t="n">
        <v>0.35</v>
      </c>
      <c r="G11" s="30" t="n">
        <f aca="false">E11*F11</f>
        <v>0.28</v>
      </c>
      <c r="H11" s="31" t="n">
        <f aca="false">D11*G11</f>
        <v>4200</v>
      </c>
      <c r="I11" s="18" t="s">
        <v>209</v>
      </c>
      <c r="J11" s="29" t="n">
        <v>0.3</v>
      </c>
      <c r="K11" s="29" t="n">
        <v>0.55</v>
      </c>
      <c r="L11" s="29" t="n">
        <v>0.15</v>
      </c>
      <c r="M11" s="30" t="n">
        <f aca="false">E11*(1-J11)</f>
        <v>0.56</v>
      </c>
      <c r="N11" s="32" t="n">
        <f aca="false">F11*(1-K11)</f>
        <v>0.1575</v>
      </c>
      <c r="O11" s="30" t="n">
        <f aca="false">M11*N11</f>
        <v>0.0882</v>
      </c>
      <c r="P11" s="31" t="n">
        <f aca="false">D11*(1-L11)</f>
        <v>12750</v>
      </c>
      <c r="Q11" s="31" t="n">
        <f aca="false">O11*P11</f>
        <v>1124.55</v>
      </c>
      <c r="R11" s="32" t="n">
        <f aca="false">IFERROR(1-(Q11/H11),0)</f>
        <v>0.73225</v>
      </c>
      <c r="S11" s="33" t="n">
        <f aca="false">H11*(1-R11)</f>
        <v>1124.55</v>
      </c>
      <c r="T11" s="31" t="n">
        <f aca="false">H11-S11</f>
        <v>3075.45</v>
      </c>
      <c r="U11" s="32" t="n">
        <f aca="false">IFERROR(T11/H11,0)</f>
        <v>0.73225</v>
      </c>
      <c r="V11" s="34" t="s">
        <v>210</v>
      </c>
      <c r="W11" s="35" t="str">
        <f aca="false">IF(S11&lt;=$B$3,"Прийнятний","Потребує додаткових дій")</f>
        <v>Прийнятний</v>
      </c>
      <c r="X11" s="18" t="s">
        <v>211</v>
      </c>
      <c r="Y11" s="27" t="n">
        <v>6500</v>
      </c>
      <c r="Z11" s="31" t="n">
        <f aca="false">T11-Y11</f>
        <v>-3424.55</v>
      </c>
      <c r="AA11" s="32" t="n">
        <f aca="false">IFERROR(Z11/Y11,0)</f>
        <v>-0.526853846153846</v>
      </c>
      <c r="AB11" s="35" t="str">
        <f aca="false">IF(Z11&gt;0,"Економічно доцільно","Переглянути бюджет контролів")</f>
        <v>Переглянути бюджет контролів</v>
      </c>
      <c r="AC11" s="18" t="s">
        <v>212</v>
      </c>
    </row>
    <row r="12" customFormat="false" ht="15" hidden="false" customHeight="false" outlineLevel="0" collapsed="false">
      <c r="A12" s="36" t="s">
        <v>213</v>
      </c>
      <c r="B12" s="36"/>
      <c r="C12" s="36"/>
      <c r="D12" s="37" t="n">
        <f aca="false">SUM(D5:D11)</f>
        <v>290000</v>
      </c>
      <c r="E12" s="38" t="n">
        <f aca="false">AVERAGE(E5:E11)</f>
        <v>1.18571428571429</v>
      </c>
      <c r="F12" s="39" t="n">
        <f aca="false">AVERAGE(F5:F11)</f>
        <v>0.471428571428572</v>
      </c>
      <c r="G12" s="40" t="n">
        <f aca="false">SUM(G5:G11)</f>
        <v>4.09</v>
      </c>
      <c r="H12" s="41" t="n">
        <f aca="false">SUM(H5:H11)</f>
        <v>199650</v>
      </c>
      <c r="I12" s="36"/>
      <c r="J12" s="39" t="n">
        <f aca="false">AVERAGE(J5:J11)</f>
        <v>0.3</v>
      </c>
      <c r="K12" s="39" t="n">
        <f aca="false">AVERAGE(K5:K11)</f>
        <v>0.55</v>
      </c>
      <c r="L12" s="39" t="n">
        <f aca="false">AVERAGE(L5:L11)</f>
        <v>0.342857142857143</v>
      </c>
      <c r="M12" s="40" t="n">
        <f aca="false">AVERAGE(M5:M11)</f>
        <v>0.802142857142857</v>
      </c>
      <c r="N12" s="42" t="n">
        <f aca="false">AVERAGE(N5:N11)</f>
        <v>0.206428571428571</v>
      </c>
      <c r="O12" s="40" t="n">
        <f aca="false">SUM(O5:O11)</f>
        <v>1.15</v>
      </c>
      <c r="P12" s="41" t="n">
        <f aca="false">SUM(P5:P11)</f>
        <v>169000</v>
      </c>
      <c r="Q12" s="41" t="n">
        <f aca="false">SUM(Q5:Q11)</f>
        <v>28755.0375</v>
      </c>
      <c r="R12" s="42" t="n">
        <f aca="false">IFERROR(1-(Q12/H12),0)</f>
        <v>0.855972764838467</v>
      </c>
      <c r="S12" s="43" t="n">
        <f aca="false">SUM(S5:S11)</f>
        <v>28755.0375</v>
      </c>
      <c r="T12" s="41" t="n">
        <f aca="false">SUM(T5:T11)</f>
        <v>170894.9625</v>
      </c>
      <c r="U12" s="42" t="n">
        <f aca="false">IFERROR(T12/H12,0)</f>
        <v>0.855972764838467</v>
      </c>
      <c r="V12" s="36"/>
      <c r="W12" s="44"/>
      <c r="X12" s="36"/>
      <c r="Y12" s="37" t="n">
        <f aca="false">SUM(Y5:Y11)</f>
        <v>59500</v>
      </c>
      <c r="Z12" s="41" t="n">
        <f aca="false">SUM(Z5:Z11)</f>
        <v>111394.9625</v>
      </c>
      <c r="AA12" s="42" t="n">
        <f aca="false">IFERROR(Z12/Y12,0)</f>
        <v>1.87218424369748</v>
      </c>
      <c r="AB12" s="44"/>
      <c r="AC12" s="36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</sheetData>
  <mergeCells count="2">
    <mergeCell ref="A1:AC1"/>
    <mergeCell ref="A2:AC2"/>
  </mergeCells>
  <conditionalFormatting sqref="S5:S11">
    <cfRule type="colorScale" priority="2">
      <colorScale>
        <cfvo type="min" val="0"/>
        <cfvo type="percentile" val="50"/>
        <cfvo type="max" val="0"/>
        <color rgb="FFDCFCE7"/>
        <color rgb="FFFEF3C7"/>
        <color rgb="FFFEE2E2"/>
      </colorScale>
    </cfRule>
  </conditionalFormatting>
  <conditionalFormatting sqref="U5:U11">
    <cfRule type="colorScale" priority="3">
      <colorScale>
        <cfvo type="min" val="0"/>
        <cfvo type="percentile" val="50"/>
        <cfvo type="max" val="0"/>
        <color rgb="FFFEE2E2"/>
        <color rgb="FFFEF3C7"/>
        <color rgb="FFDCFCE7"/>
      </colorScale>
    </cfRule>
  </conditionalFormatting>
  <conditionalFormatting sqref="Z5:Z11">
    <cfRule type="cellIs" priority="4" operator="lessThan" aboveAverage="0" equalAverage="0" bottom="0" percent="0" rank="0" text="" dxfId="39">
      <formula>0</formula>
    </cfRule>
  </conditionalFormatting>
  <conditionalFormatting sqref="W5:W11">
    <cfRule type="expression" priority="5" aboveAverage="0" equalAverage="0" bottom="0" percent="0" rank="0" text="" dxfId="40">
      <formula>W5="Потребує додаткових дій"</formula>
    </cfRule>
    <cfRule type="expression" priority="6" aboveAverage="0" equalAverage="0" bottom="0" percent="0" rank="0" text="" dxfId="41">
      <formula>W5="Прийнятний"</formula>
    </cfRule>
  </conditionalFormatting>
  <dataValidations count="2">
    <dataValidation allowBlank="false" errorStyle="stop" operator="between" showDropDown="false" showErrorMessage="false" showInputMessage="false" sqref="B5:B11" type="list">
      <formula1>"Висока,Середня,Низька/середня"</formula1>
      <formula2>0</formula2>
    </dataValidation>
    <dataValidation allowBlank="false" errorStyle="stop" operator="between" showDropDown="false" showErrorMessage="false" showInputMessage="false" sqref="V5:V11" type="list">
      <formula1>"Прийняття,Мінімізація,Передача,Уникнення,Мінімізація + прийняття,Мінімізація + передача,Передача + мінімізація,Прийняття + мінімізація"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32"/>
    <col collapsed="false" customWidth="true" hidden="false" outlineLevel="0" max="4" min="4" style="0" width="36"/>
    <col collapsed="false" customWidth="true" hidden="false" outlineLevel="0" max="5" min="5" style="0" width="38"/>
    <col collapsed="false" customWidth="true" hidden="false" outlineLevel="0" max="6" min="6" style="0" width="20"/>
    <col collapsed="false" customWidth="true" hidden="false" outlineLevel="0" max="7" min="7" style="0" width="24"/>
    <col collapsed="false" customWidth="true" hidden="false" outlineLevel="0" max="8" min="8" style="0" width="20"/>
  </cols>
  <sheetData>
    <row r="1" customFormat="false" ht="15" hidden="false" customHeight="true" outlineLevel="0" collapsed="false">
      <c r="A1" s="11" t="s">
        <v>214</v>
      </c>
      <c r="B1" s="11"/>
      <c r="C1" s="11"/>
      <c r="D1" s="11"/>
      <c r="E1" s="11"/>
      <c r="F1" s="11"/>
      <c r="G1" s="11"/>
      <c r="H1" s="11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 customFormat="false" ht="15" hidden="false" customHeight="false" outlineLevel="0" collapsed="false">
      <c r="A2" s="21" t="s">
        <v>173</v>
      </c>
      <c r="B2" s="21" t="s">
        <v>215</v>
      </c>
      <c r="C2" s="21" t="s">
        <v>216</v>
      </c>
      <c r="D2" s="21" t="s">
        <v>217</v>
      </c>
      <c r="E2" s="21" t="s">
        <v>218</v>
      </c>
      <c r="F2" s="21" t="s">
        <v>219</v>
      </c>
      <c r="G2" s="21" t="s">
        <v>220</v>
      </c>
      <c r="H2" s="21" t="s">
        <v>221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 customFormat="false" ht="15" hidden="false" customHeight="false" outlineLevel="0" collapsed="false">
      <c r="A3" s="18" t="s">
        <v>222</v>
      </c>
      <c r="B3" s="18" t="s">
        <v>223</v>
      </c>
      <c r="C3" s="18" t="s">
        <v>224</v>
      </c>
      <c r="D3" s="18" t="s">
        <v>225</v>
      </c>
      <c r="E3" s="18" t="s">
        <v>226</v>
      </c>
      <c r="F3" s="18" t="s">
        <v>227</v>
      </c>
      <c r="G3" s="18" t="s">
        <v>228</v>
      </c>
      <c r="H3" s="18" t="s">
        <v>229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 customFormat="false" ht="15" hidden="false" customHeight="false" outlineLevel="0" collapsed="false">
      <c r="A4" s="18" t="s">
        <v>230</v>
      </c>
      <c r="B4" s="18" t="s">
        <v>231</v>
      </c>
      <c r="C4" s="18" t="s">
        <v>232</v>
      </c>
      <c r="D4" s="18" t="s">
        <v>233</v>
      </c>
      <c r="E4" s="18" t="s">
        <v>234</v>
      </c>
      <c r="F4" s="18" t="s">
        <v>235</v>
      </c>
      <c r="G4" s="18" t="s">
        <v>236</v>
      </c>
      <c r="H4" s="18" t="s">
        <v>237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 customFormat="false" ht="15" hidden="false" customHeight="false" outlineLevel="0" collapsed="false">
      <c r="A5" s="18" t="s">
        <v>238</v>
      </c>
      <c r="B5" s="18" t="s">
        <v>239</v>
      </c>
      <c r="C5" s="18" t="s">
        <v>240</v>
      </c>
      <c r="D5" s="18" t="s">
        <v>241</v>
      </c>
      <c r="E5" s="18" t="s">
        <v>242</v>
      </c>
      <c r="F5" s="18" t="s">
        <v>243</v>
      </c>
      <c r="G5" s="18" t="s">
        <v>244</v>
      </c>
      <c r="H5" s="18" t="s">
        <v>245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 customFormat="false" ht="15" hidden="false" customHeight="false" outlineLevel="0" collapsed="false">
      <c r="A6" s="18" t="s">
        <v>246</v>
      </c>
      <c r="B6" s="18" t="s">
        <v>247</v>
      </c>
      <c r="C6" s="18" t="s">
        <v>248</v>
      </c>
      <c r="D6" s="18" t="s">
        <v>249</v>
      </c>
      <c r="E6" s="18" t="s">
        <v>250</v>
      </c>
      <c r="F6" s="18" t="s">
        <v>251</v>
      </c>
      <c r="G6" s="18" t="s">
        <v>252</v>
      </c>
      <c r="H6" s="18" t="s">
        <v>253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8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28"/>
    <col collapsed="false" customWidth="true" hidden="false" outlineLevel="0" max="8" min="8" style="0" width="18"/>
  </cols>
  <sheetData>
    <row r="1" customFormat="false" ht="15" hidden="false" customHeight="true" outlineLevel="0" collapsed="false">
      <c r="A1" s="11" t="s">
        <v>254</v>
      </c>
      <c r="B1" s="11"/>
      <c r="C1" s="11"/>
      <c r="D1" s="11"/>
      <c r="E1" s="11"/>
      <c r="F1" s="11"/>
      <c r="G1" s="11"/>
      <c r="H1" s="11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 customFormat="false" ht="15" hidden="false" customHeight="false" outlineLevel="0" collapsed="false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 customFormat="false" ht="15" hidden="false" customHeight="false" outlineLevel="0" collapsed="false">
      <c r="A3" s="21" t="s">
        <v>106</v>
      </c>
      <c r="B3" s="21" t="s">
        <v>107</v>
      </c>
      <c r="C3" s="21" t="s">
        <v>255</v>
      </c>
      <c r="D3" s="21" t="s">
        <v>109</v>
      </c>
      <c r="E3" s="21"/>
      <c r="F3" s="21"/>
      <c r="G3" s="21"/>
      <c r="H3" s="21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 customFormat="false" ht="15" hidden="false" customHeight="false" outlineLevel="0" collapsed="false">
      <c r="A4" s="18" t="s">
        <v>159</v>
      </c>
      <c r="B4" s="18" t="s">
        <v>256</v>
      </c>
      <c r="C4" s="18" t="s">
        <v>257</v>
      </c>
      <c r="D4" s="18" t="s">
        <v>258</v>
      </c>
      <c r="E4" s="18"/>
      <c r="F4" s="18"/>
      <c r="G4" s="18"/>
      <c r="H4" s="18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 customFormat="false" ht="15" hidden="false" customHeight="false" outlineLevel="0" collapsed="false">
      <c r="A5" s="18" t="s">
        <v>259</v>
      </c>
      <c r="B5" s="18" t="s">
        <v>260</v>
      </c>
      <c r="C5" s="18" t="s">
        <v>261</v>
      </c>
      <c r="D5" s="18" t="s">
        <v>262</v>
      </c>
      <c r="E5" s="18"/>
      <c r="F5" s="18"/>
      <c r="G5" s="18"/>
      <c r="H5" s="18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 customFormat="false" ht="15" hidden="false" customHeight="false" outlineLevel="0" collapsed="false">
      <c r="A6" s="18" t="s">
        <v>164</v>
      </c>
      <c r="B6" s="18" t="s">
        <v>263</v>
      </c>
      <c r="C6" s="18" t="s">
        <v>264</v>
      </c>
      <c r="D6" s="18" t="s">
        <v>265</v>
      </c>
      <c r="E6" s="18"/>
      <c r="F6" s="18"/>
      <c r="G6" s="18"/>
      <c r="H6" s="18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 customFormat="false" ht="15" hidden="false" customHeight="false" outlineLevel="0" collapsed="false">
      <c r="A7" s="18" t="s">
        <v>165</v>
      </c>
      <c r="B7" s="18" t="s">
        <v>266</v>
      </c>
      <c r="C7" s="18" t="s">
        <v>267</v>
      </c>
      <c r="D7" s="18" t="s">
        <v>268</v>
      </c>
      <c r="E7" s="18"/>
      <c r="F7" s="18"/>
      <c r="G7" s="18"/>
      <c r="H7" s="18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customFormat="false" ht="15" hidden="false" customHeight="false" outlineLevel="0" collapsed="false">
      <c r="A8" s="18" t="s">
        <v>269</v>
      </c>
      <c r="B8" s="18" t="s">
        <v>270</v>
      </c>
      <c r="C8" s="18" t="s">
        <v>271</v>
      </c>
      <c r="D8" s="18" t="s">
        <v>272</v>
      </c>
      <c r="E8" s="18"/>
      <c r="F8" s="18"/>
      <c r="G8" s="18"/>
      <c r="H8" s="18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customFormat="false" ht="15" hidden="false" customHeight="false" outlineLevel="0" collapsed="false">
      <c r="A9" s="18" t="s">
        <v>169</v>
      </c>
      <c r="B9" s="18" t="s">
        <v>273</v>
      </c>
      <c r="C9" s="18" t="s">
        <v>274</v>
      </c>
      <c r="D9" s="18" t="s">
        <v>275</v>
      </c>
      <c r="E9" s="18"/>
      <c r="F9" s="18"/>
      <c r="G9" s="18"/>
      <c r="H9" s="18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customFormat="false" ht="15" hidden="false" customHeight="false" outlineLevel="0" collapsed="false">
      <c r="A10" s="18" t="s">
        <v>276</v>
      </c>
      <c r="B10" s="18" t="s">
        <v>277</v>
      </c>
      <c r="C10" s="18" t="s">
        <v>278</v>
      </c>
      <c r="D10" s="18" t="s">
        <v>279</v>
      </c>
      <c r="E10" s="18"/>
      <c r="F10" s="18"/>
      <c r="G10" s="18"/>
      <c r="H10" s="18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customFormat="false" ht="15" hidden="false" customHeight="false" outlineLevel="0" collapsed="false">
      <c r="A11" s="18" t="s">
        <v>280</v>
      </c>
      <c r="B11" s="18" t="s">
        <v>281</v>
      </c>
      <c r="C11" s="18" t="s">
        <v>282</v>
      </c>
      <c r="D11" s="18" t="s">
        <v>283</v>
      </c>
      <c r="E11" s="18"/>
      <c r="F11" s="18"/>
      <c r="G11" s="18"/>
      <c r="H11" s="18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customFormat="false" ht="15" hidden="false" customHeight="false" outlineLevel="0" collapsed="false">
      <c r="A12" s="18" t="s">
        <v>178</v>
      </c>
      <c r="B12" s="18" t="s">
        <v>284</v>
      </c>
      <c r="C12" s="18" t="s">
        <v>285</v>
      </c>
      <c r="D12" s="18" t="s">
        <v>286</v>
      </c>
      <c r="E12" s="18"/>
      <c r="F12" s="18"/>
      <c r="G12" s="18"/>
      <c r="H12" s="18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customFormat="false" ht="15" hidden="false" customHeight="true" outlineLevel="0" collapsed="false">
      <c r="A14" s="23" t="s">
        <v>287</v>
      </c>
      <c r="B14" s="23"/>
      <c r="C14" s="23"/>
      <c r="D14" s="23"/>
      <c r="E14" s="23"/>
      <c r="F14" s="23"/>
      <c r="G14" s="23"/>
      <c r="H14" s="23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customFormat="false" ht="15" hidden="false" customHeight="false" outlineLevel="0" collapsed="false">
      <c r="A15" s="45" t="s">
        <v>288</v>
      </c>
      <c r="B15" s="22" t="n">
        <f aca="false">ДЗ9_FAIR!H12</f>
        <v>199650</v>
      </c>
      <c r="C15" s="22"/>
      <c r="D15" s="22" t="s">
        <v>289</v>
      </c>
      <c r="E15" s="22" t="n">
        <f aca="false">ДЗ9_FAIR!S12</f>
        <v>28755.0375</v>
      </c>
      <c r="F15" s="18"/>
      <c r="G15" s="18" t="s">
        <v>290</v>
      </c>
      <c r="H15" s="46" t="n">
        <f aca="false">ДЗ9_FAIR!U12</f>
        <v>0.855972764838467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customFormat="false" ht="15" hidden="false" customHeight="false" outlineLevel="0" collapsed="false">
      <c r="A16" s="45" t="s">
        <v>291</v>
      </c>
      <c r="B16" s="22" t="n">
        <f aca="false">ДЗ9_FAIR!D3</f>
        <v>50000</v>
      </c>
      <c r="C16" s="22"/>
      <c r="D16" s="22" t="s">
        <v>130</v>
      </c>
      <c r="E16" s="22" t="n">
        <f aca="false">ДЗ9_FAIR!S12</f>
        <v>28755.0375</v>
      </c>
      <c r="F16" s="18"/>
      <c r="G16" s="18" t="s">
        <v>292</v>
      </c>
      <c r="H16" s="18" t="str">
        <f aca="false">IF(E16&lt;=ДЗ9_FAIR!D3,"Прийнятний","Потребує додаткових заходів")</f>
        <v>Прийнятний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customFormat="false" ht="15" hidden="false" customHeight="true" outlineLevel="0" collapsed="false">
      <c r="A17" s="45" t="s">
        <v>293</v>
      </c>
      <c r="B17" s="18" t="s">
        <v>294</v>
      </c>
      <c r="C17" s="18"/>
      <c r="D17" s="18"/>
      <c r="E17" s="18"/>
      <c r="F17" s="18"/>
      <c r="G17" s="18"/>
      <c r="H17" s="18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customFormat="false" ht="15" hidden="false" customHeight="true" outlineLevel="0" collapsed="false">
      <c r="A18" s="45" t="s">
        <v>295</v>
      </c>
      <c r="B18" s="18" t="s">
        <v>296</v>
      </c>
      <c r="C18" s="18"/>
      <c r="D18" s="18"/>
      <c r="E18" s="18"/>
      <c r="F18" s="18"/>
      <c r="G18" s="18"/>
      <c r="H18" s="18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customFormat="false" ht="15" hidden="false" customHeight="false" outlineLevel="0" collapsed="false">
      <c r="A19" s="45" t="s">
        <v>297</v>
      </c>
      <c r="B19" s="22" t="n">
        <f aca="false">ДЗ9_FAIR!S12</f>
        <v>28755.0375</v>
      </c>
      <c r="C19" s="18"/>
      <c r="D19" s="18"/>
      <c r="E19" s="18"/>
      <c r="F19" s="18"/>
      <c r="G19" s="18"/>
      <c r="H19" s="18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customFormat="false" ht="15" hidden="false" customHeight="true" outlineLevel="0" collapsed="false">
      <c r="A20" s="45" t="s">
        <v>298</v>
      </c>
      <c r="B20" s="18" t="s">
        <v>299</v>
      </c>
      <c r="C20" s="18"/>
      <c r="D20" s="18"/>
      <c r="E20" s="18"/>
      <c r="F20" s="18"/>
      <c r="G20" s="18"/>
      <c r="H20" s="18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</sheetData>
  <mergeCells count="5">
    <mergeCell ref="A1:H1"/>
    <mergeCell ref="A14:H14"/>
    <mergeCell ref="B17:H17"/>
    <mergeCell ref="B18:H18"/>
    <mergeCell ref="B20:H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sFree_Office_for_Docs_and_PDF/7.4.2.3$Windows_X86_64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2026-05-22T15:19:31Z</dcterms:modified>
  <cp:revision>1</cp:revision>
  <dc:subject/>
  <dc:title/>
</cp:coreProperties>
</file>